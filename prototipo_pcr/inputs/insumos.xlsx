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1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E:\proyectos_sura\Decenal\Prototipo\prototipo-pcr\prototipo_pcr\inputs\"/>
    </mc:Choice>
  </mc:AlternateContent>
  <xr:revisionPtr revIDLastSave="0" documentId="13_ncr:1_{2243AF27-2D62-4BE1-9706-CB09D188EEFE}" xr6:coauthVersionLast="47" xr6:coauthVersionMax="47" xr10:uidLastSave="{00000000-0000-0000-0000-000000000000}"/>
  <bookViews>
    <workbookView xWindow="-108" yWindow="-108" windowWidth="23256" windowHeight="12456" tabRatio="959" activeTab="2" xr2:uid="{00000000-000D-0000-FFFF-FFFF00000000}"/>
  </bookViews>
  <sheets>
    <sheet name="param_contabilidad" sheetId="6" r:id="rId1"/>
    <sheet name="excepciones_50_50" sheetId="4" r:id="rId2"/>
    <sheet name="componente_financiacion" sheetId="29" r:id="rId3"/>
    <sheet name="gastos" sheetId="1" r:id="rId4"/>
    <sheet name="tasa_cambio" sheetId="3" r:id="rId5"/>
    <sheet name="porc_descuento" sheetId="5" r:id="rId6"/>
    <sheet name="produccion_directo" sheetId="9" r:id="rId7"/>
    <sheet name="componente_inversion_directo" sheetId="28" r:id="rId8"/>
    <sheet name="produccion_rea" sheetId="2" r:id="rId9"/>
    <sheet name="comision_rea" sheetId="18" r:id="rId10"/>
    <sheet name="costo_rea_noprop" sheetId="8" r:id="rId11"/>
    <sheet name="seguimiento_rea_noprop" sheetId="19" r:id="rId12"/>
    <sheet name="onerosidad" sheetId="26" r:id="rId13"/>
    <sheet name="recup_onerosidad" sheetId="27" r:id="rId14"/>
    <sheet name="map_bt" sheetId="20" r:id="rId15"/>
    <sheet name="tipo_seguro" sheetId="21" r:id="rId16"/>
    <sheet name="cuenta_cobrar_directo" sheetId="23" r:id="rId17"/>
    <sheet name="cuenta_corriente_rea" sheetId="25" r:id="rId18"/>
  </sheets>
  <definedNames>
    <definedName name="_xlnm._FilterDatabase" localSheetId="9" hidden="1">comision_rea!$A$1:$V$9</definedName>
    <definedName name="_xlnm._FilterDatabase" localSheetId="7" hidden="1">componente_inversion_directo!$A$1:$W$37</definedName>
    <definedName name="_xlnm._FilterDatabase" localSheetId="3" hidden="1">gastos!$B$1:$K$221</definedName>
    <definedName name="_xlnm._FilterDatabase" localSheetId="14" hidden="1">map_bt!$A$1:$I$261</definedName>
    <definedName name="_xlnm._FilterDatabase" localSheetId="0" hidden="1">param_contabilidad!$A$1:$J$86</definedName>
    <definedName name="_xlnm._FilterDatabase" localSheetId="5" hidden="1">porc_descuento!$A$1:$N$17</definedName>
    <definedName name="_xlnm._FilterDatabase" localSheetId="6" hidden="1">produccion_directo!$A$1:$V$17</definedName>
    <definedName name="_xlnm._FilterDatabase" localSheetId="8" hidden="1">produccion_rea!$A$1:$AB$10</definedName>
    <definedName name="_xlnm._FilterDatabase" localSheetId="4" hidden="1">tasa_cambio!$A$1:$D$1</definedName>
    <definedName name="_xlnm._FilterDatabase" localSheetId="15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9" l="1"/>
  <c r="R24" i="9"/>
  <c r="Q24" i="9"/>
  <c r="I24" i="9"/>
  <c r="H17" i="28" l="1"/>
  <c r="H16" i="28"/>
  <c r="H15" i="28"/>
  <c r="H12" i="28"/>
  <c r="H14" i="28"/>
  <c r="H11" i="28"/>
  <c r="H13" i="28"/>
  <c r="H10" i="28"/>
  <c r="H9" i="28"/>
  <c r="H8" i="28"/>
  <c r="H7" i="28"/>
  <c r="H6" i="28"/>
  <c r="H5" i="28"/>
  <c r="H4" i="28"/>
  <c r="H3" i="28"/>
  <c r="H2" i="28"/>
  <c r="H37" i="28"/>
  <c r="H36" i="28"/>
  <c r="H35" i="28"/>
  <c r="H34" i="28"/>
  <c r="H33" i="28"/>
  <c r="H32" i="28"/>
  <c r="H31" i="28"/>
  <c r="H30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O11" i="2"/>
  <c r="O10" i="2"/>
  <c r="O9" i="2"/>
  <c r="O8" i="2"/>
  <c r="O7" i="2"/>
  <c r="O6" i="2"/>
  <c r="O5" i="2"/>
  <c r="O4" i="2"/>
  <c r="O3" i="2"/>
  <c r="O2" i="2"/>
  <c r="K11" i="2"/>
  <c r="K10" i="2"/>
  <c r="K9" i="2"/>
  <c r="K8" i="2"/>
  <c r="K7" i="2"/>
  <c r="K6" i="2"/>
  <c r="K5" i="2"/>
  <c r="K4" i="2"/>
  <c r="K3" i="2"/>
  <c r="K2" i="2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T5" i="26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G26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7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8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29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0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1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8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9" authorId="1" shapeId="0" xr:uid="{BB513225-A849-7C48-A5E3-E93DB7912EF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0" authorId="1" shapeId="0" xr:uid="{796B42B7-FF84-6748-BC3E-343755FAB57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1" authorId="1" shapeId="0" xr:uid="{ABDB2425-B21D-3540-9ECD-6C726805B6F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2" authorId="1" shapeId="0" xr:uid="{0E263D3D-E92D-CD40-BDF7-DAB669E928B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3" authorId="1" shapeId="0" xr:uid="{1068D786-730B-304A-A8D4-896501048CB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64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67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70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78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9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0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81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F1" authorId="0" shapeId="0" xr:uid="{6646B43B-F165-4295-952A-69884C5981B2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L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V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C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<sst xmlns="http://schemas.openxmlformats.org/spreadsheetml/2006/main" count="8963" uniqueCount="457">
  <si>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</si>
  <si>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</si>
  <si>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</si>
  <si>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</si>
  <si>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</si>
  <si>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</si>
  <si>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</si>
  <si>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</si>
  <si>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</si>
  <si>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</si>
  <si>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</si>
  <si>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</si>
  <si>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</si>
  <si>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</si>
  <si>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</si>
  <si>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</si>
  <si>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</si>
  <si>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</si>
  <si>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</si>
  <si>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</si>
  <si>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</si>
  <si>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</si>
  <si>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</si>
  <si>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</si>
  <si>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</si>
  <si>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</si>
  <si>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</si>
  <si>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</si>
  <si>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</si>
  <si>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</si>
  <si>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</si>
  <si>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</si>
  <si>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</si>
  <si>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</si>
  <si>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</si>
  <si>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</si>
  <si>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</si>
  <si>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</si>
  <si>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</si>
  <si>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</si>
  <si>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</si>
  <si>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</si>
  <si>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</si>
  <si>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</si>
  <si>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</si>
  <si>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</si>
  <si>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</si>
  <si>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</si>
  <si>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</si>
  <si>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</si>
  <si>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</si>
  <si>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</si>
  <si>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</si>
  <si>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</si>
  <si>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</si>
  <si>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</si>
  <si>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</si>
  <si>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</si>
  <si>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</si>
  <si>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</si>
  <si>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</si>
  <si>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</si>
  <si>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</si>
  <si>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</si>
  <si>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</si>
  <si>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</si>
  <si>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</si>
  <si>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</si>
  <si>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</si>
  <si>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</si>
  <si>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</si>
  <si>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</si>
  <si>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</si>
  <si>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</si>
  <si>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</si>
  <si>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</si>
  <si>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</si>
  <si>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</si>
  <si>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</si>
  <si>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</si>
  <si>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</si>
  <si>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</si>
  <si>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</si>
  <si>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</si>
  <si>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</si>
  <si>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</si>
  <si>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</si>
  <si>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</si>
  <si>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</si>
  <si>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</si>
  <si>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</si>
  <si>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</si>
  <si>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</si>
  <si>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</si>
  <si>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</si>
  <si>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</si>
  <si>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</si>
  <si>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</si>
  <si>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</si>
  <si>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</si>
  <si>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</si>
  <si>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</si>
  <si>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</si>
  <si>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</si>
  <si>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</si>
  <si>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</si>
  <si>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</si>
  <si>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</si>
  <si>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</si>
  <si>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</si>
  <si>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</si>
  <si>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</si>
  <si>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</si>
  <si>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</si>
  <si>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</si>
  <si>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</si>
  <si>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</si>
  <si>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</si>
  <si>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</si>
  <si>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</si>
  <si>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</si>
  <si>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</si>
  <si>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</si>
  <si>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</si>
  <si>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</si>
  <si>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</si>
  <si>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</si>
  <si>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</si>
  <si>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</si>
  <si>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</si>
  <si>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</si>
  <si>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</si>
  <si>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</si>
  <si>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</si>
  <si>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</si>
  <si>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</si>
  <si>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</si>
  <si>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</si>
  <si>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</si>
  <si>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</si>
  <si>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</si>
  <si>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</si>
  <si>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</si>
  <si>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</si>
  <si>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</si>
  <si>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</si>
  <si>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</si>
  <si>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</si>
  <si>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</si>
  <si>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</si>
  <si>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</si>
  <si>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</si>
  <si>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</si>
  <si>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</si>
  <si>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</si>
  <si>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</si>
  <si>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</si>
  <si>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</si>
  <si>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</si>
  <si>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</si>
  <si>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</si>
  <si>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</si>
  <si>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</si>
  <si>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</si>
  <si>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</si>
  <si>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</si>
  <si>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</si>
  <si>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</si>
  <si>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</si>
  <si>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</si>
  <si>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</si>
  <si>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</si>
  <si>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</si>
  <si>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</si>
  <si>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</si>
  <si>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</si>
  <si>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</si>
  <si>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</si>
  <si>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</si>
  <si>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</si>
  <si>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</si>
  <si>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</si>
  <si>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</si>
  <si>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</si>
  <si>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</si>
  <si>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</si>
  <si>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</si>
  <si>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</si>
  <si>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</si>
  <si>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</si>
  <si>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</si>
  <si>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</si>
  <si>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</si>
  <si>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</si>
  <si>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</si>
  <si>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</si>
  <si>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</si>
  <si>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</si>
  <si>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</si>
  <si>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</si>
  <si>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</si>
  <si>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</si>
  <si>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</si>
  <si>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</si>
  <si>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</si>
  <si>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</si>
  <si>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</si>
  <si>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</si>
  <si>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</si>
  <si>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</si>
  <si>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</si>
  <si>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</si>
  <si>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</si>
  <si>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</si>
  <si>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</si>
  <si>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</si>
  <si>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</si>
  <si>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</si>
  <si>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</si>
  <si>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</si>
  <si>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</si>
  <si>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</si>
  <si>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</si>
  <si>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</si>
  <si>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</si>
  <si>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</si>
  <si>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</si>
  <si>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</si>
  <si>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</si>
  <si>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</si>
  <si>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</si>
  <si>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</si>
  <si>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</si>
  <si>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</si>
  <si>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</si>
  <si>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</si>
  <si>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</si>
  <si>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</si>
  <si>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</si>
  <si>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</si>
  <si>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</si>
  <si>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</si>
  <si>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</si>
  <si>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</si>
  <si>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</si>
  <si>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</si>
  <si>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</si>
  <si>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</si>
  <si>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</si>
  <si>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</si>
  <si>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</si>
  <si>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</si>
  <si>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</si>
  <si>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</si>
  <si>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</si>
  <si>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</si>
  <si>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</si>
  <si>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</si>
  <si>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</si>
  <si>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</si>
  <si>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</si>
  <si>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</si>
  <si>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</si>
  <si>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</si>
  <si>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</si>
  <si>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</si>
  <si>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</si>
  <si>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</si>
  <si>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</si>
  <si>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</si>
  <si>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</si>
  <si>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</si>
  <si>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</si>
  <si>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</si>
  <si>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</si>
  <si>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</si>
  <si>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</si>
  <si>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</si>
  <si>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</si>
  <si>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</si>
  <si>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</si>
  <si>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</si>
  <si>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</si>
  <si>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</si>
  <si>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</si>
  <si>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</si>
  <si>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</si>
  <si>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</si>
  <si>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</si>
  <si>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</si>
  <si>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</si>
  <si>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</si>
  <si>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</si>
  <si>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</si>
  <si>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</si>
  <si>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</si>
  <si>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</si>
  <si>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</si>
  <si>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</si>
  <si>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</si>
  <si>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</si>
  <si>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</si>
  <si>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</si>
  <si>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</si>
  <si>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</si>
  <si>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</si>
  <si>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</si>
  <si>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</si>
  <si>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</si>
  <si>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</si>
  <si>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</si>
  <si>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</si>
  <si>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</si>
  <si>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</si>
  <si>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</si>
  <si>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</si>
  <si>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</si>
  <si>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</si>
  <si>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</si>
  <si>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</si>
  <si>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</si>
  <si>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</si>
  <si>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</si>
  <si>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</si>
  <si>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</si>
  <si>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</si>
  <si>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</si>
  <si>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</si>
  <si>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</si>
  <si>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</si>
  <si>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</si>
  <si>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</si>
  <si>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</si>
  <si>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</si>
  <si>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</si>
  <si>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</si>
  <si>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</si>
  <si>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</si>
  <si>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</si>
  <si>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</si>
  <si>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</si>
  <si>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</si>
  <si>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</si>
  <si>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</si>
  <si>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</si>
  <si>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</si>
  <si>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</si>
  <si>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</si>
  <si>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</si>
  <si>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</si>
  <si>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</si>
  <si>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</si>
  <si>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</si>
  <si>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</si>
  <si>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</si>
  <si>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</si>
  <si>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</si>
  <si>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</si>
  <si>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</si>
  <si>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</si>
  <si>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</si>
  <si>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</si>
  <si>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</si>
  <si>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</si>
  <si>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</si>
  <si>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</si>
  <si>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</si>
  <si>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</si>
  <si>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</si>
  <si>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</si>
  <si>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</si>
  <si>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</si>
  <si>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</si>
  <si>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</si>
  <si>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</si>
  <si>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</si>
  <si>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</si>
  <si>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</si>
  <si>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</si>
  <si>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</si>
  <si>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</si>
  <si>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</si>
  <si>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</si>
  <si>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</si>
  <si>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</si>
  <si>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</si>
  <si>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</si>
  <si>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</si>
  <si>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</si>
  <si>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</si>
  <si>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</si>
  <si>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</si>
  <si>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</si>
  <si>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</si>
  <si>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</si>
  <si>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</si>
  <si>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</si>
  <si>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</si>
  <si>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</si>
  <si>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</si>
  <si>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</si>
  <si>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</si>
  <si>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</si>
  <si>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</si>
  <si>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</si>
  <si>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</si>
  <si>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</si>
  <si>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</si>
  <si>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</si>
  <si>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</si>
  <si>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</si>
  <si>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</si>
  <si>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</si>
  <si>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</si>
  <si>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</si>
  <si>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</si>
  <si>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</si>
  <si>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</si>
  <si>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</si>
  <si>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</si>
  <si>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</si>
  <si>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</si>
  <si>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</si>
  <si>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</si>
  <si>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</si>
  <si>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</si>
  <si>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</si>
  <si>
    <t>matematica_local_produccion_directo</t>
  </si>
  <si>
    <t>matematica_local_gasto_comi_directo</t>
  </si>
  <si>
    <t>matematica_local_gasto_otro_directo</t>
  </si>
  <si>
    <t>matematica_local_cesion_rea_prop</t>
  </si>
  <si>
    <t>numero_documento_sap</t>
  </si>
  <si>
    <t>cdsubgarantia</t>
  </si>
  <si>
    <t>componente_inversion_directo</t>
  </si>
  <si>
    <t>componente_inversion</t>
  </si>
  <si>
    <t>SBV</t>
  </si>
  <si>
    <t xml:space="preserve">NDX   </t>
  </si>
  <si>
    <t>fecha_cancelacion_poliza</t>
  </si>
  <si>
    <t>23</t>
  </si>
  <si>
    <t>1</t>
  </si>
  <si>
    <t>fecha_inicio_vigencia_poliza</t>
  </si>
  <si>
    <t>produccion emitida de la cobertura de con componente de inversion</t>
  </si>
  <si>
    <t>BAN110581505</t>
  </si>
  <si>
    <t>30</t>
  </si>
  <si>
    <t>BAN108762414</t>
  </si>
  <si>
    <t>produccion_directo_componente_finan</t>
  </si>
  <si>
    <t>003000000545</t>
  </si>
  <si>
    <t>0030000005451</t>
  </si>
  <si>
    <t>RECONSTRUCCION</t>
  </si>
  <si>
    <t>00300000054501</t>
  </si>
  <si>
    <t>VIVIENDA_SEGURA</t>
  </si>
  <si>
    <t>moneda_curva</t>
  </si>
  <si>
    <t>UVR</t>
  </si>
  <si>
    <t>aplica_comp_financ</t>
  </si>
  <si>
    <t>meses_max_vigencia</t>
  </si>
  <si>
    <t>pais_curva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</si>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</sst>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_-* #,##0_-;\-* #,##0_-;_-* &quot;-&quot;??_-;_-@_-"/>
    <numFmt numFmtId="166" formatCode="yyyy\-mm\-dd"/>
  </numFmts>
  <fonts count="2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165" fontId="0" fillId="0" borderId="0" xfId="5" applyNumberFormat="1" applyFont="1"/>
    <xf numFmtId="165" fontId="5" fillId="0" borderId="0" xfId="5" applyNumberFormat="1" applyFont="1"/>
    <xf numFmtId="0" fontId="18" fillId="0" borderId="0" xfId="0" applyFont="1"/>
    <xf numFmtId="164" fontId="18" fillId="0" borderId="0" xfId="0" applyNumberFormat="1" applyFont="1"/>
    <xf numFmtId="164" fontId="19" fillId="0" borderId="0" xfId="0" applyNumberFormat="1" applyFont="1"/>
    <xf numFmtId="166" fontId="0" fillId="0" borderId="0" xfId="0" applyNumberForma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89"/>
  <sheetViews>
    <sheetView topLeftCell="B1" zoomScale="101" workbookViewId="0">
      <selection activeCell="G23" sqref="G23:G25"/>
    </sheetView>
  </sheetViews>
  <sheetFormatPr baseColWidth="10" defaultColWidth="11.44140625" defaultRowHeight="14.4"/>
  <cols>
    <col min="1" max="1" width="33.44140625" bestFit="1" customWidth="1"/>
    <col min="2" max="2" width="27.33203125" bestFit="1" customWidth="1"/>
    <col min="3" max="3" width="22.109375" bestFit="1" customWidth="1"/>
    <col min="4" max="4" width="24.33203125" bestFit="1" customWidth="1"/>
    <col min="5" max="5" width="14.21875" bestFit="1" customWidth="1"/>
    <col min="6" max="6" width="18.21875" bestFit="1" customWidth="1"/>
    <col min="7" max="7" width="14.21875" bestFit="1" customWidth="1"/>
    <col min="8" max="8" width="19.21875" bestFit="1" customWidth="1"/>
    <col min="9" max="9" width="16.21875" bestFit="1" customWidth="1"/>
    <col min="10" max="10" width="117.44140625" style="53" bestFit="1" customWidth="1"/>
  </cols>
  <sheetData>
    <row r="1" spans="1:11" s="5" customFormat="1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2" t="s">
        <v>9</v>
      </c>
    </row>
    <row r="2" spans="1:11">
      <c r="A2" t="s">
        <v>37</v>
      </c>
      <c r="B2" t="s">
        <v>37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3" t="s">
        <v>16</v>
      </c>
    </row>
    <row r="3" spans="1:11">
      <c r="A3" t="s">
        <v>37</v>
      </c>
      <c r="B3" t="s">
        <v>37</v>
      </c>
      <c r="C3" t="s">
        <v>12</v>
      </c>
      <c r="D3" t="s">
        <v>13</v>
      </c>
      <c r="E3" t="s">
        <v>13</v>
      </c>
      <c r="F3" t="s">
        <v>30</v>
      </c>
      <c r="G3" t="s">
        <v>31</v>
      </c>
      <c r="H3">
        <v>-1</v>
      </c>
      <c r="I3">
        <v>1</v>
      </c>
      <c r="J3" s="53" t="s">
        <v>16</v>
      </c>
    </row>
    <row r="4" spans="1:11">
      <c r="A4" t="s">
        <v>37</v>
      </c>
      <c r="B4" t="s">
        <v>37</v>
      </c>
      <c r="C4" t="s">
        <v>12</v>
      </c>
      <c r="D4" t="s">
        <v>13</v>
      </c>
      <c r="E4" t="s">
        <v>13</v>
      </c>
      <c r="F4" t="s">
        <v>32</v>
      </c>
      <c r="G4" t="s">
        <v>31</v>
      </c>
      <c r="H4">
        <v>-1</v>
      </c>
      <c r="I4">
        <v>1</v>
      </c>
      <c r="J4" s="53" t="s">
        <v>16</v>
      </c>
      <c r="K4" s="53"/>
    </row>
    <row r="5" spans="1:11">
      <c r="A5" t="s">
        <v>54</v>
      </c>
      <c r="B5" t="s">
        <v>11</v>
      </c>
      <c r="C5" t="s">
        <v>12</v>
      </c>
      <c r="D5" t="s">
        <v>46</v>
      </c>
      <c r="E5" t="s">
        <v>47</v>
      </c>
      <c r="F5" t="s">
        <v>14</v>
      </c>
      <c r="G5" t="s">
        <v>15</v>
      </c>
      <c r="H5">
        <v>1</v>
      </c>
      <c r="I5">
        <v>1</v>
      </c>
      <c r="J5" s="53" t="s">
        <v>55</v>
      </c>
    </row>
    <row r="6" spans="1:11">
      <c r="A6" t="s">
        <v>54</v>
      </c>
      <c r="B6" t="s">
        <v>11</v>
      </c>
      <c r="C6" t="s">
        <v>12</v>
      </c>
      <c r="D6" t="s">
        <v>46</v>
      </c>
      <c r="E6" t="s">
        <v>47</v>
      </c>
      <c r="F6" t="s">
        <v>30</v>
      </c>
      <c r="G6" t="s">
        <v>31</v>
      </c>
      <c r="H6">
        <v>1</v>
      </c>
      <c r="I6">
        <v>1</v>
      </c>
      <c r="J6" s="53" t="s">
        <v>55</v>
      </c>
    </row>
    <row r="7" spans="1:11">
      <c r="A7" t="s">
        <v>54</v>
      </c>
      <c r="B7" t="s">
        <v>11</v>
      </c>
      <c r="C7" t="s">
        <v>12</v>
      </c>
      <c r="D7" t="s">
        <v>46</v>
      </c>
      <c r="E7" t="s">
        <v>47</v>
      </c>
      <c r="F7" t="s">
        <v>32</v>
      </c>
      <c r="G7" t="s">
        <v>31</v>
      </c>
      <c r="H7">
        <v>1</v>
      </c>
      <c r="I7">
        <v>1</v>
      </c>
      <c r="J7" s="53" t="s">
        <v>55</v>
      </c>
    </row>
    <row r="8" spans="1:11">
      <c r="A8" t="s">
        <v>54</v>
      </c>
      <c r="B8" t="s">
        <v>11</v>
      </c>
      <c r="C8" t="s">
        <v>12</v>
      </c>
      <c r="D8" t="s">
        <v>46</v>
      </c>
      <c r="E8" t="s">
        <v>71</v>
      </c>
      <c r="F8" t="s">
        <v>14</v>
      </c>
      <c r="G8" t="s">
        <v>15</v>
      </c>
      <c r="H8">
        <v>-1</v>
      </c>
      <c r="I8">
        <v>1</v>
      </c>
      <c r="J8" s="53" t="s">
        <v>55</v>
      </c>
    </row>
    <row r="9" spans="1:11">
      <c r="A9" t="s">
        <v>54</v>
      </c>
      <c r="B9" t="s">
        <v>11</v>
      </c>
      <c r="C9" t="s">
        <v>12</v>
      </c>
      <c r="D9" t="s">
        <v>46</v>
      </c>
      <c r="E9" t="s">
        <v>71</v>
      </c>
      <c r="F9" t="s">
        <v>30</v>
      </c>
      <c r="G9" t="s">
        <v>31</v>
      </c>
      <c r="H9">
        <v>-1</v>
      </c>
      <c r="I9">
        <v>1</v>
      </c>
      <c r="J9" s="53" t="s">
        <v>55</v>
      </c>
    </row>
    <row r="10" spans="1:11">
      <c r="A10" t="s">
        <v>54</v>
      </c>
      <c r="B10" t="s">
        <v>11</v>
      </c>
      <c r="C10" t="s">
        <v>12</v>
      </c>
      <c r="D10" t="s">
        <v>46</v>
      </c>
      <c r="E10" t="s">
        <v>71</v>
      </c>
      <c r="F10" t="s">
        <v>32</v>
      </c>
      <c r="G10" t="s">
        <v>31</v>
      </c>
      <c r="H10">
        <v>-1</v>
      </c>
      <c r="I10">
        <v>1</v>
      </c>
      <c r="J10" s="53" t="s">
        <v>55</v>
      </c>
    </row>
    <row r="11" spans="1:11">
      <c r="A11" t="s">
        <v>54</v>
      </c>
      <c r="B11" t="s">
        <v>11</v>
      </c>
      <c r="C11" t="s">
        <v>12</v>
      </c>
      <c r="D11" t="s">
        <v>46</v>
      </c>
      <c r="E11" t="s">
        <v>72</v>
      </c>
      <c r="F11" t="s">
        <v>14</v>
      </c>
      <c r="G11" t="s">
        <v>15</v>
      </c>
      <c r="H11">
        <v>1</v>
      </c>
      <c r="I11">
        <v>1</v>
      </c>
      <c r="J11" s="53" t="s">
        <v>55</v>
      </c>
    </row>
    <row r="12" spans="1:11">
      <c r="A12" t="s">
        <v>54</v>
      </c>
      <c r="B12" t="s">
        <v>11</v>
      </c>
      <c r="C12" t="s">
        <v>12</v>
      </c>
      <c r="D12" t="s">
        <v>46</v>
      </c>
      <c r="E12" t="s">
        <v>72</v>
      </c>
      <c r="F12" t="s">
        <v>30</v>
      </c>
      <c r="G12" t="s">
        <v>31</v>
      </c>
      <c r="H12">
        <v>1</v>
      </c>
      <c r="I12">
        <v>1</v>
      </c>
      <c r="J12" s="53" t="s">
        <v>55</v>
      </c>
    </row>
    <row r="13" spans="1:11">
      <c r="A13" t="s">
        <v>54</v>
      </c>
      <c r="B13" t="s">
        <v>11</v>
      </c>
      <c r="C13" t="s">
        <v>12</v>
      </c>
      <c r="D13" t="s">
        <v>46</v>
      </c>
      <c r="E13" t="s">
        <v>72</v>
      </c>
      <c r="F13" t="s">
        <v>32</v>
      </c>
      <c r="G13" t="s">
        <v>31</v>
      </c>
      <c r="H13">
        <v>1</v>
      </c>
      <c r="I13">
        <v>1</v>
      </c>
      <c r="J13" s="53" t="s">
        <v>55</v>
      </c>
    </row>
    <row r="14" spans="1:11">
      <c r="A14" t="s">
        <v>67</v>
      </c>
      <c r="B14" t="s">
        <v>68</v>
      </c>
      <c r="C14" t="s">
        <v>12</v>
      </c>
      <c r="D14" t="s">
        <v>46</v>
      </c>
      <c r="E14" t="s">
        <v>47</v>
      </c>
      <c r="F14" t="s">
        <v>14</v>
      </c>
      <c r="G14" t="s">
        <v>15</v>
      </c>
      <c r="H14">
        <v>-1</v>
      </c>
      <c r="I14">
        <v>1</v>
      </c>
      <c r="J14" s="53" t="s">
        <v>69</v>
      </c>
    </row>
    <row r="15" spans="1:11">
      <c r="A15" t="s">
        <v>67</v>
      </c>
      <c r="B15" t="s">
        <v>68</v>
      </c>
      <c r="C15" t="s">
        <v>12</v>
      </c>
      <c r="D15" t="s">
        <v>46</v>
      </c>
      <c r="E15" t="s">
        <v>47</v>
      </c>
      <c r="F15" t="s">
        <v>30</v>
      </c>
      <c r="G15" t="s">
        <v>31</v>
      </c>
      <c r="H15">
        <v>-1</v>
      </c>
      <c r="I15">
        <v>1</v>
      </c>
      <c r="J15" s="53" t="s">
        <v>69</v>
      </c>
    </row>
    <row r="16" spans="1:11">
      <c r="A16" t="s">
        <v>67</v>
      </c>
      <c r="B16" t="s">
        <v>68</v>
      </c>
      <c r="C16" t="s">
        <v>12</v>
      </c>
      <c r="D16" t="s">
        <v>46</v>
      </c>
      <c r="E16" t="s">
        <v>47</v>
      </c>
      <c r="F16" t="s">
        <v>32</v>
      </c>
      <c r="G16" t="s">
        <v>31</v>
      </c>
      <c r="H16">
        <v>-1</v>
      </c>
      <c r="I16">
        <v>1</v>
      </c>
      <c r="J16" s="53" t="s">
        <v>69</v>
      </c>
    </row>
    <row r="17" spans="1:11">
      <c r="A17" t="s">
        <v>67</v>
      </c>
      <c r="B17" t="s">
        <v>68</v>
      </c>
      <c r="C17" t="s">
        <v>12</v>
      </c>
      <c r="D17" t="s">
        <v>46</v>
      </c>
      <c r="E17" t="s">
        <v>71</v>
      </c>
      <c r="F17" t="s">
        <v>14</v>
      </c>
      <c r="G17" t="s">
        <v>15</v>
      </c>
      <c r="H17">
        <v>1</v>
      </c>
      <c r="I17">
        <v>1</v>
      </c>
      <c r="J17" s="53" t="s">
        <v>69</v>
      </c>
    </row>
    <row r="18" spans="1:11">
      <c r="A18" t="s">
        <v>67</v>
      </c>
      <c r="B18" t="s">
        <v>68</v>
      </c>
      <c r="C18" t="s">
        <v>12</v>
      </c>
      <c r="D18" t="s">
        <v>46</v>
      </c>
      <c r="E18" t="s">
        <v>71</v>
      </c>
      <c r="F18" t="s">
        <v>30</v>
      </c>
      <c r="G18" t="s">
        <v>31</v>
      </c>
      <c r="H18">
        <v>1</v>
      </c>
      <c r="I18">
        <v>1</v>
      </c>
      <c r="J18" s="53" t="s">
        <v>69</v>
      </c>
    </row>
    <row r="19" spans="1:11">
      <c r="A19" t="s">
        <v>67</v>
      </c>
      <c r="B19" t="s">
        <v>68</v>
      </c>
      <c r="C19" t="s">
        <v>12</v>
      </c>
      <c r="D19" t="s">
        <v>46</v>
      </c>
      <c r="E19" t="s">
        <v>71</v>
      </c>
      <c r="F19" t="s">
        <v>32</v>
      </c>
      <c r="G19" t="s">
        <v>31</v>
      </c>
      <c r="H19">
        <v>1</v>
      </c>
      <c r="I19">
        <v>1</v>
      </c>
      <c r="J19" s="53" t="s">
        <v>69</v>
      </c>
    </row>
    <row r="20" spans="1:11">
      <c r="A20" t="s">
        <v>67</v>
      </c>
      <c r="B20" t="s">
        <v>68</v>
      </c>
      <c r="C20" t="s">
        <v>12</v>
      </c>
      <c r="D20" t="s">
        <v>46</v>
      </c>
      <c r="E20" t="s">
        <v>72</v>
      </c>
      <c r="F20" t="s">
        <v>14</v>
      </c>
      <c r="G20" t="s">
        <v>15</v>
      </c>
      <c r="H20">
        <v>-1</v>
      </c>
      <c r="I20">
        <v>1</v>
      </c>
      <c r="J20" s="53" t="s">
        <v>69</v>
      </c>
    </row>
    <row r="21" spans="1:11">
      <c r="A21" t="s">
        <v>67</v>
      </c>
      <c r="B21" t="s">
        <v>68</v>
      </c>
      <c r="C21" t="s">
        <v>12</v>
      </c>
      <c r="D21" t="s">
        <v>46</v>
      </c>
      <c r="E21" t="s">
        <v>72</v>
      </c>
      <c r="F21" t="s">
        <v>30</v>
      </c>
      <c r="G21" t="s">
        <v>31</v>
      </c>
      <c r="H21">
        <v>-1</v>
      </c>
      <c r="I21">
        <v>1</v>
      </c>
      <c r="J21" s="53" t="s">
        <v>69</v>
      </c>
    </row>
    <row r="22" spans="1:11">
      <c r="A22" t="s">
        <v>67</v>
      </c>
      <c r="B22" t="s">
        <v>68</v>
      </c>
      <c r="C22" t="s">
        <v>12</v>
      </c>
      <c r="D22" t="s">
        <v>46</v>
      </c>
      <c r="E22" t="s">
        <v>72</v>
      </c>
      <c r="F22" t="s">
        <v>32</v>
      </c>
      <c r="G22" t="s">
        <v>31</v>
      </c>
      <c r="H22">
        <v>-1</v>
      </c>
      <c r="I22">
        <v>1</v>
      </c>
      <c r="J22" s="53" t="s">
        <v>69</v>
      </c>
      <c r="K22" s="53"/>
    </row>
    <row r="23" spans="1:11">
      <c r="A23" t="s">
        <v>433</v>
      </c>
      <c r="B23" t="s">
        <v>433</v>
      </c>
      <c r="C23" t="s">
        <v>434</v>
      </c>
      <c r="D23" t="s">
        <v>13</v>
      </c>
      <c r="E23" t="s">
        <v>13</v>
      </c>
      <c r="F23" t="s">
        <v>14</v>
      </c>
      <c r="H23">
        <v>-1</v>
      </c>
      <c r="I23">
        <v>1</v>
      </c>
      <c r="J23" s="53" t="s">
        <v>441</v>
      </c>
    </row>
    <row r="24" spans="1:11">
      <c r="A24" t="s">
        <v>433</v>
      </c>
      <c r="B24" t="s">
        <v>433</v>
      </c>
      <c r="C24" t="s">
        <v>434</v>
      </c>
      <c r="D24" t="s">
        <v>13</v>
      </c>
      <c r="E24" t="s">
        <v>13</v>
      </c>
      <c r="F24" t="s">
        <v>30</v>
      </c>
      <c r="H24">
        <v>-1</v>
      </c>
      <c r="I24">
        <v>1</v>
      </c>
      <c r="J24" s="53" t="s">
        <v>441</v>
      </c>
    </row>
    <row r="25" spans="1:11">
      <c r="A25" t="s">
        <v>433</v>
      </c>
      <c r="B25" t="s">
        <v>433</v>
      </c>
      <c r="C25" t="s">
        <v>434</v>
      </c>
      <c r="D25" t="s">
        <v>13</v>
      </c>
      <c r="E25" t="s">
        <v>13</v>
      </c>
      <c r="F25" t="s">
        <v>32</v>
      </c>
      <c r="H25">
        <v>-1</v>
      </c>
      <c r="I25">
        <v>1</v>
      </c>
      <c r="J25" s="53" t="s">
        <v>441</v>
      </c>
      <c r="K25" s="53"/>
    </row>
    <row r="26" spans="1:11">
      <c r="A26" t="s">
        <v>52</v>
      </c>
      <c r="B26" t="s">
        <v>413</v>
      </c>
      <c r="C26" t="s">
        <v>12</v>
      </c>
      <c r="D26" t="s">
        <v>50</v>
      </c>
      <c r="E26" t="s">
        <v>47</v>
      </c>
      <c r="F26" t="s">
        <v>30</v>
      </c>
      <c r="G26" s="30" t="s">
        <v>15</v>
      </c>
      <c r="H26">
        <v>1</v>
      </c>
      <c r="I26">
        <v>1</v>
      </c>
      <c r="J26" s="53" t="s">
        <v>53</v>
      </c>
    </row>
    <row r="27" spans="1:11">
      <c r="A27" t="s">
        <v>52</v>
      </c>
      <c r="B27" t="s">
        <v>413</v>
      </c>
      <c r="C27" t="s">
        <v>12</v>
      </c>
      <c r="D27" t="s">
        <v>50</v>
      </c>
      <c r="E27" t="s">
        <v>47</v>
      </c>
      <c r="F27" t="s">
        <v>32</v>
      </c>
      <c r="G27" s="30" t="s">
        <v>15</v>
      </c>
      <c r="H27">
        <v>1</v>
      </c>
      <c r="I27">
        <v>1</v>
      </c>
      <c r="J27" s="53" t="s">
        <v>53</v>
      </c>
    </row>
    <row r="28" spans="1:11">
      <c r="A28" t="s">
        <v>52</v>
      </c>
      <c r="B28" t="s">
        <v>413</v>
      </c>
      <c r="C28" t="s">
        <v>12</v>
      </c>
      <c r="D28" t="s">
        <v>50</v>
      </c>
      <c r="E28" t="s">
        <v>71</v>
      </c>
      <c r="F28" t="s">
        <v>30</v>
      </c>
      <c r="G28" s="30" t="s">
        <v>15</v>
      </c>
      <c r="H28">
        <v>-1</v>
      </c>
      <c r="I28">
        <v>1</v>
      </c>
      <c r="J28" s="53" t="s">
        <v>53</v>
      </c>
      <c r="K28" s="53"/>
    </row>
    <row r="29" spans="1:11">
      <c r="A29" t="s">
        <v>52</v>
      </c>
      <c r="B29" t="s">
        <v>413</v>
      </c>
      <c r="C29" t="s">
        <v>12</v>
      </c>
      <c r="D29" t="s">
        <v>50</v>
      </c>
      <c r="E29" t="s">
        <v>71</v>
      </c>
      <c r="F29" t="s">
        <v>32</v>
      </c>
      <c r="G29" s="30" t="s">
        <v>15</v>
      </c>
      <c r="H29">
        <v>-1</v>
      </c>
      <c r="I29">
        <v>1</v>
      </c>
      <c r="J29" s="53" t="s">
        <v>53</v>
      </c>
    </row>
    <row r="30" spans="1:11">
      <c r="A30" t="s">
        <v>52</v>
      </c>
      <c r="B30" t="s">
        <v>413</v>
      </c>
      <c r="C30" t="s">
        <v>12</v>
      </c>
      <c r="D30" t="s">
        <v>50</v>
      </c>
      <c r="E30" t="s">
        <v>72</v>
      </c>
      <c r="F30" t="s">
        <v>30</v>
      </c>
      <c r="G30" s="30" t="s">
        <v>15</v>
      </c>
      <c r="H30">
        <v>1</v>
      </c>
      <c r="I30">
        <v>1</v>
      </c>
      <c r="J30" s="53" t="s">
        <v>53</v>
      </c>
    </row>
    <row r="31" spans="1:11">
      <c r="A31" t="s">
        <v>52</v>
      </c>
      <c r="B31" t="s">
        <v>413</v>
      </c>
      <c r="C31" t="s">
        <v>12</v>
      </c>
      <c r="D31" t="s">
        <v>50</v>
      </c>
      <c r="E31" t="s">
        <v>72</v>
      </c>
      <c r="F31" t="s">
        <v>32</v>
      </c>
      <c r="G31" s="30" t="s">
        <v>15</v>
      </c>
      <c r="H31">
        <v>1</v>
      </c>
      <c r="I31">
        <v>1</v>
      </c>
      <c r="J31" s="53" t="s">
        <v>53</v>
      </c>
    </row>
    <row r="32" spans="1:11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3" t="s">
        <v>414</v>
      </c>
    </row>
    <row r="33" spans="1:10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3" t="s">
        <v>415</v>
      </c>
    </row>
    <row r="34" spans="1:10">
      <c r="A34" t="s">
        <v>23</v>
      </c>
      <c r="B34" t="s">
        <v>11</v>
      </c>
      <c r="C34" t="s">
        <v>24</v>
      </c>
      <c r="D34" t="s">
        <v>13</v>
      </c>
      <c r="E34" t="s">
        <v>13</v>
      </c>
      <c r="F34" t="s">
        <v>14</v>
      </c>
      <c r="G34" t="s">
        <v>15</v>
      </c>
      <c r="H34">
        <v>-1</v>
      </c>
      <c r="I34">
        <v>1</v>
      </c>
      <c r="J34" s="53" t="s">
        <v>25</v>
      </c>
    </row>
    <row r="35" spans="1:10">
      <c r="A35" t="s">
        <v>61</v>
      </c>
      <c r="B35" t="s">
        <v>11</v>
      </c>
      <c r="C35" t="s">
        <v>24</v>
      </c>
      <c r="D35" t="s">
        <v>46</v>
      </c>
      <c r="E35" t="s">
        <v>47</v>
      </c>
      <c r="F35" t="s">
        <v>14</v>
      </c>
      <c r="G35" t="s">
        <v>15</v>
      </c>
      <c r="H35">
        <v>1</v>
      </c>
      <c r="I35">
        <v>1</v>
      </c>
      <c r="J35" s="53" t="s">
        <v>62</v>
      </c>
    </row>
    <row r="36" spans="1:10">
      <c r="A36" t="s">
        <v>61</v>
      </c>
      <c r="B36" t="s">
        <v>11</v>
      </c>
      <c r="C36" t="s">
        <v>24</v>
      </c>
      <c r="D36" t="s">
        <v>46</v>
      </c>
      <c r="E36" t="s">
        <v>71</v>
      </c>
      <c r="F36" t="s">
        <v>14</v>
      </c>
      <c r="G36" t="s">
        <v>15</v>
      </c>
      <c r="H36">
        <v>-1</v>
      </c>
      <c r="I36">
        <v>1</v>
      </c>
      <c r="J36" s="53" t="s">
        <v>62</v>
      </c>
    </row>
    <row r="37" spans="1:10">
      <c r="A37" t="s">
        <v>61</v>
      </c>
      <c r="B37" t="s">
        <v>11</v>
      </c>
      <c r="C37" t="s">
        <v>24</v>
      </c>
      <c r="D37" t="s">
        <v>46</v>
      </c>
      <c r="E37" t="s">
        <v>72</v>
      </c>
      <c r="F37" t="s">
        <v>14</v>
      </c>
      <c r="G37" t="s">
        <v>15</v>
      </c>
      <c r="H37">
        <v>1</v>
      </c>
      <c r="I37">
        <v>1</v>
      </c>
      <c r="J37" s="53" t="s">
        <v>62</v>
      </c>
    </row>
    <row r="38" spans="1:10">
      <c r="A38" t="s">
        <v>26</v>
      </c>
      <c r="B38" t="s">
        <v>11</v>
      </c>
      <c r="C38" t="s">
        <v>24</v>
      </c>
      <c r="D38" t="s">
        <v>13</v>
      </c>
      <c r="E38" t="s">
        <v>13</v>
      </c>
      <c r="F38" t="s">
        <v>14</v>
      </c>
      <c r="G38" t="s">
        <v>15</v>
      </c>
      <c r="H38">
        <v>1</v>
      </c>
      <c r="I38">
        <v>0</v>
      </c>
      <c r="J38" s="53" t="s">
        <v>27</v>
      </c>
    </row>
    <row r="39" spans="1:10">
      <c r="A39" t="s">
        <v>63</v>
      </c>
      <c r="B39" t="s">
        <v>11</v>
      </c>
      <c r="C39" t="s">
        <v>24</v>
      </c>
      <c r="D39" t="s">
        <v>46</v>
      </c>
      <c r="E39" t="s">
        <v>47</v>
      </c>
      <c r="F39" t="s">
        <v>14</v>
      </c>
      <c r="G39" t="s">
        <v>15</v>
      </c>
      <c r="H39">
        <v>-1</v>
      </c>
      <c r="I39">
        <v>0</v>
      </c>
      <c r="J39" s="53" t="s">
        <v>64</v>
      </c>
    </row>
    <row r="40" spans="1:10">
      <c r="A40" t="s">
        <v>63</v>
      </c>
      <c r="B40" t="s">
        <v>11</v>
      </c>
      <c r="C40" t="s">
        <v>24</v>
      </c>
      <c r="D40" t="s">
        <v>46</v>
      </c>
      <c r="E40" t="s">
        <v>71</v>
      </c>
      <c r="F40" t="s">
        <v>14</v>
      </c>
      <c r="G40" t="s">
        <v>15</v>
      </c>
      <c r="H40">
        <v>1</v>
      </c>
      <c r="I40">
        <v>0</v>
      </c>
      <c r="J40" s="53" t="s">
        <v>64</v>
      </c>
    </row>
    <row r="41" spans="1:10">
      <c r="A41" t="s">
        <v>63</v>
      </c>
      <c r="B41" t="s">
        <v>11</v>
      </c>
      <c r="C41" t="s">
        <v>24</v>
      </c>
      <c r="D41" t="s">
        <v>46</v>
      </c>
      <c r="E41" t="s">
        <v>72</v>
      </c>
      <c r="F41" t="s">
        <v>14</v>
      </c>
      <c r="G41" t="s">
        <v>15</v>
      </c>
      <c r="H41">
        <v>-1</v>
      </c>
      <c r="I41">
        <v>0</v>
      </c>
      <c r="J41" s="53" t="s">
        <v>64</v>
      </c>
    </row>
    <row r="42" spans="1:10">
      <c r="A42" t="s">
        <v>17</v>
      </c>
      <c r="B42" t="s">
        <v>18</v>
      </c>
      <c r="C42" t="s">
        <v>12</v>
      </c>
      <c r="D42" t="s">
        <v>13</v>
      </c>
      <c r="E42" t="s">
        <v>13</v>
      </c>
      <c r="F42" t="s">
        <v>14</v>
      </c>
      <c r="G42" t="s">
        <v>15</v>
      </c>
      <c r="H42">
        <v>1</v>
      </c>
      <c r="I42">
        <v>1</v>
      </c>
      <c r="J42" s="53" t="s">
        <v>19</v>
      </c>
    </row>
    <row r="43" spans="1:10">
      <c r="A43" t="s">
        <v>17</v>
      </c>
      <c r="B43" t="s">
        <v>18</v>
      </c>
      <c r="C43" t="s">
        <v>12</v>
      </c>
      <c r="D43" t="s">
        <v>13</v>
      </c>
      <c r="E43" t="s">
        <v>13</v>
      </c>
      <c r="F43" t="s">
        <v>30</v>
      </c>
      <c r="G43" t="s">
        <v>31</v>
      </c>
      <c r="H43">
        <v>1</v>
      </c>
      <c r="I43">
        <v>1</v>
      </c>
      <c r="J43" s="53" t="s">
        <v>22</v>
      </c>
    </row>
    <row r="44" spans="1:10">
      <c r="A44" t="s">
        <v>17</v>
      </c>
      <c r="B44" t="s">
        <v>18</v>
      </c>
      <c r="C44" t="s">
        <v>12</v>
      </c>
      <c r="D44" t="s">
        <v>13</v>
      </c>
      <c r="E44" t="s">
        <v>13</v>
      </c>
      <c r="F44" t="s">
        <v>32</v>
      </c>
      <c r="G44" t="s">
        <v>31</v>
      </c>
      <c r="H44">
        <v>1</v>
      </c>
      <c r="I44">
        <v>1</v>
      </c>
      <c r="J44" s="53" t="s">
        <v>22</v>
      </c>
    </row>
    <row r="45" spans="1:10">
      <c r="A45" t="s">
        <v>56</v>
      </c>
      <c r="B45" t="s">
        <v>18</v>
      </c>
      <c r="C45" t="s">
        <v>57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1</v>
      </c>
      <c r="J45" s="53" t="s">
        <v>58</v>
      </c>
    </row>
    <row r="46" spans="1:10">
      <c r="A46" t="s">
        <v>56</v>
      </c>
      <c r="B46" t="s">
        <v>18</v>
      </c>
      <c r="C46" t="s">
        <v>57</v>
      </c>
      <c r="D46" t="s">
        <v>46</v>
      </c>
      <c r="E46" t="s">
        <v>71</v>
      </c>
      <c r="F46" t="s">
        <v>14</v>
      </c>
      <c r="G46" t="s">
        <v>15</v>
      </c>
      <c r="H46">
        <v>1</v>
      </c>
      <c r="I46">
        <v>1</v>
      </c>
      <c r="J46" s="53" t="s">
        <v>58</v>
      </c>
    </row>
    <row r="47" spans="1:10">
      <c r="A47" t="s">
        <v>56</v>
      </c>
      <c r="B47" t="s">
        <v>18</v>
      </c>
      <c r="C47" t="s">
        <v>57</v>
      </c>
      <c r="D47" t="s">
        <v>46</v>
      </c>
      <c r="E47" t="s">
        <v>72</v>
      </c>
      <c r="F47" t="s">
        <v>14</v>
      </c>
      <c r="G47" t="s">
        <v>15</v>
      </c>
      <c r="H47">
        <v>-1</v>
      </c>
      <c r="I47">
        <v>1</v>
      </c>
      <c r="J47" s="53" t="s">
        <v>58</v>
      </c>
    </row>
    <row r="48" spans="1:10">
      <c r="A48" t="s">
        <v>28</v>
      </c>
      <c r="B48" t="s">
        <v>11</v>
      </c>
      <c r="C48" t="s">
        <v>24</v>
      </c>
      <c r="D48" t="s">
        <v>13</v>
      </c>
      <c r="E48" t="s">
        <v>13</v>
      </c>
      <c r="F48" t="s">
        <v>14</v>
      </c>
      <c r="G48" t="s">
        <v>15</v>
      </c>
      <c r="H48">
        <v>1</v>
      </c>
      <c r="I48">
        <v>0</v>
      </c>
      <c r="J48" s="53" t="s">
        <v>29</v>
      </c>
    </row>
    <row r="49" spans="1:10">
      <c r="A49" t="s">
        <v>65</v>
      </c>
      <c r="B49" t="s">
        <v>11</v>
      </c>
      <c r="C49" t="s">
        <v>24</v>
      </c>
      <c r="D49" t="s">
        <v>46</v>
      </c>
      <c r="E49" t="s">
        <v>47</v>
      </c>
      <c r="F49" t="s">
        <v>14</v>
      </c>
      <c r="G49" t="s">
        <v>15</v>
      </c>
      <c r="H49">
        <v>-1</v>
      </c>
      <c r="I49">
        <v>0</v>
      </c>
      <c r="J49" s="53" t="s">
        <v>66</v>
      </c>
    </row>
    <row r="50" spans="1:10">
      <c r="A50" t="s">
        <v>65</v>
      </c>
      <c r="B50" t="s">
        <v>11</v>
      </c>
      <c r="C50" t="s">
        <v>24</v>
      </c>
      <c r="D50" t="s">
        <v>46</v>
      </c>
      <c r="E50" t="s">
        <v>71</v>
      </c>
      <c r="F50" t="s">
        <v>14</v>
      </c>
      <c r="G50" t="s">
        <v>15</v>
      </c>
      <c r="H50">
        <v>1</v>
      </c>
      <c r="I50">
        <v>0</v>
      </c>
      <c r="J50" s="53" t="s">
        <v>66</v>
      </c>
    </row>
    <row r="51" spans="1:10">
      <c r="A51" t="s">
        <v>65</v>
      </c>
      <c r="B51" t="s">
        <v>11</v>
      </c>
      <c r="C51" t="s">
        <v>24</v>
      </c>
      <c r="D51" t="s">
        <v>46</v>
      </c>
      <c r="E51" t="s">
        <v>72</v>
      </c>
      <c r="F51" t="s">
        <v>14</v>
      </c>
      <c r="G51" t="s">
        <v>15</v>
      </c>
      <c r="H51">
        <v>-1</v>
      </c>
      <c r="I51">
        <v>0</v>
      </c>
      <c r="J51" s="53" t="s">
        <v>66</v>
      </c>
    </row>
    <row r="52" spans="1:10">
      <c r="A52" t="s">
        <v>20</v>
      </c>
      <c r="B52" t="s">
        <v>21</v>
      </c>
      <c r="C52" t="s">
        <v>12</v>
      </c>
      <c r="D52" t="s">
        <v>13</v>
      </c>
      <c r="E52" t="s">
        <v>13</v>
      </c>
      <c r="F52" t="s">
        <v>14</v>
      </c>
      <c r="G52" t="s">
        <v>15</v>
      </c>
      <c r="H52">
        <v>1</v>
      </c>
      <c r="I52">
        <v>1</v>
      </c>
      <c r="J52" s="53" t="s">
        <v>22</v>
      </c>
    </row>
    <row r="53" spans="1:10">
      <c r="A53" t="s">
        <v>20</v>
      </c>
      <c r="B53" t="s">
        <v>21</v>
      </c>
      <c r="C53" t="s">
        <v>12</v>
      </c>
      <c r="D53" t="s">
        <v>13</v>
      </c>
      <c r="E53" t="s">
        <v>13</v>
      </c>
      <c r="F53" t="s">
        <v>30</v>
      </c>
      <c r="G53" t="s">
        <v>31</v>
      </c>
      <c r="H53">
        <v>1</v>
      </c>
      <c r="I53">
        <v>1</v>
      </c>
      <c r="J53" s="53" t="s">
        <v>19</v>
      </c>
    </row>
    <row r="54" spans="1:10">
      <c r="A54" t="s">
        <v>20</v>
      </c>
      <c r="B54" t="s">
        <v>21</v>
      </c>
      <c r="C54" t="s">
        <v>12</v>
      </c>
      <c r="D54" t="s">
        <v>13</v>
      </c>
      <c r="E54" t="s">
        <v>13</v>
      </c>
      <c r="F54" t="s">
        <v>32</v>
      </c>
      <c r="G54" t="s">
        <v>31</v>
      </c>
      <c r="H54">
        <v>1</v>
      </c>
      <c r="I54">
        <v>1</v>
      </c>
      <c r="J54" s="53" t="s">
        <v>19</v>
      </c>
    </row>
    <row r="55" spans="1:10">
      <c r="A55" t="s">
        <v>59</v>
      </c>
      <c r="B55" t="s">
        <v>21</v>
      </c>
      <c r="C55" t="s">
        <v>57</v>
      </c>
      <c r="D55" t="s">
        <v>46</v>
      </c>
      <c r="E55" t="s">
        <v>47</v>
      </c>
      <c r="F55" t="s">
        <v>14</v>
      </c>
      <c r="G55" t="s">
        <v>15</v>
      </c>
      <c r="H55">
        <v>-1</v>
      </c>
      <c r="I55">
        <v>1</v>
      </c>
      <c r="J55" s="53" t="s">
        <v>60</v>
      </c>
    </row>
    <row r="56" spans="1:10">
      <c r="A56" t="s">
        <v>59</v>
      </c>
      <c r="B56" t="s">
        <v>21</v>
      </c>
      <c r="C56" t="s">
        <v>57</v>
      </c>
      <c r="D56" t="s">
        <v>46</v>
      </c>
      <c r="E56" t="s">
        <v>71</v>
      </c>
      <c r="F56" t="s">
        <v>14</v>
      </c>
      <c r="G56" t="s">
        <v>15</v>
      </c>
      <c r="H56">
        <v>1</v>
      </c>
      <c r="I56">
        <v>1</v>
      </c>
      <c r="J56" s="53" t="s">
        <v>60</v>
      </c>
    </row>
    <row r="57" spans="1:10">
      <c r="A57" t="s">
        <v>59</v>
      </c>
      <c r="B57" t="s">
        <v>21</v>
      </c>
      <c r="C57" t="s">
        <v>57</v>
      </c>
      <c r="D57" t="s">
        <v>46</v>
      </c>
      <c r="E57" t="s">
        <v>72</v>
      </c>
      <c r="F57" t="s">
        <v>14</v>
      </c>
      <c r="G57" t="s">
        <v>15</v>
      </c>
      <c r="H57">
        <v>-1</v>
      </c>
      <c r="I57">
        <v>1</v>
      </c>
      <c r="J57" s="53" t="s">
        <v>60</v>
      </c>
    </row>
    <row r="58" spans="1:10">
      <c r="A58" s="30" t="s">
        <v>430</v>
      </c>
      <c r="B58" t="s">
        <v>11</v>
      </c>
      <c r="C58" t="s">
        <v>39</v>
      </c>
      <c r="D58" t="s">
        <v>46</v>
      </c>
      <c r="E58" t="s">
        <v>47</v>
      </c>
      <c r="F58" t="s">
        <v>14</v>
      </c>
      <c r="G58" t="s">
        <v>15</v>
      </c>
      <c r="H58">
        <v>1</v>
      </c>
      <c r="I58">
        <v>1</v>
      </c>
      <c r="J58" s="53" t="s">
        <v>40</v>
      </c>
    </row>
    <row r="59" spans="1:10">
      <c r="A59" s="30" t="s">
        <v>430</v>
      </c>
      <c r="B59" t="s">
        <v>11</v>
      </c>
      <c r="C59" t="s">
        <v>39</v>
      </c>
      <c r="D59" t="s">
        <v>46</v>
      </c>
      <c r="E59" t="s">
        <v>47</v>
      </c>
      <c r="F59" t="s">
        <v>30</v>
      </c>
      <c r="G59" t="s">
        <v>15</v>
      </c>
      <c r="H59">
        <v>1</v>
      </c>
      <c r="I59">
        <v>1</v>
      </c>
      <c r="J59" s="53" t="s">
        <v>40</v>
      </c>
    </row>
    <row r="60" spans="1:10">
      <c r="A60" s="30" t="s">
        <v>430</v>
      </c>
      <c r="B60" t="s">
        <v>11</v>
      </c>
      <c r="C60" t="s">
        <v>12</v>
      </c>
      <c r="D60" t="s">
        <v>46</v>
      </c>
      <c r="E60" t="s">
        <v>47</v>
      </c>
      <c r="F60" t="s">
        <v>32</v>
      </c>
      <c r="G60" t="s">
        <v>15</v>
      </c>
      <c r="H60">
        <v>1</v>
      </c>
      <c r="I60">
        <v>1</v>
      </c>
      <c r="J60" s="53" t="s">
        <v>40</v>
      </c>
    </row>
    <row r="61" spans="1:10">
      <c r="A61" s="30" t="s">
        <v>430</v>
      </c>
      <c r="B61" t="s">
        <v>11</v>
      </c>
      <c r="C61" t="s">
        <v>39</v>
      </c>
      <c r="D61" t="s">
        <v>46</v>
      </c>
      <c r="E61" t="s">
        <v>72</v>
      </c>
      <c r="F61" t="s">
        <v>14</v>
      </c>
      <c r="G61" t="s">
        <v>15</v>
      </c>
      <c r="H61">
        <v>1</v>
      </c>
      <c r="I61">
        <v>1</v>
      </c>
      <c r="J61" s="53" t="s">
        <v>40</v>
      </c>
    </row>
    <row r="62" spans="1:10">
      <c r="A62" s="30" t="s">
        <v>430</v>
      </c>
      <c r="B62" t="s">
        <v>11</v>
      </c>
      <c r="C62" t="s">
        <v>39</v>
      </c>
      <c r="D62" t="s">
        <v>46</v>
      </c>
      <c r="E62" t="s">
        <v>72</v>
      </c>
      <c r="F62" t="s">
        <v>30</v>
      </c>
      <c r="G62" t="s">
        <v>15</v>
      </c>
      <c r="H62">
        <v>1</v>
      </c>
      <c r="I62">
        <v>1</v>
      </c>
      <c r="J62" s="53" t="s">
        <v>40</v>
      </c>
    </row>
    <row r="63" spans="1:10">
      <c r="A63" s="30" t="s">
        <v>430</v>
      </c>
      <c r="B63" t="s">
        <v>11</v>
      </c>
      <c r="C63" t="s">
        <v>12</v>
      </c>
      <c r="D63" t="s">
        <v>46</v>
      </c>
      <c r="E63" t="s">
        <v>72</v>
      </c>
      <c r="F63" t="s">
        <v>32</v>
      </c>
      <c r="G63" t="s">
        <v>15</v>
      </c>
      <c r="H63">
        <v>1</v>
      </c>
      <c r="I63">
        <v>1</v>
      </c>
      <c r="J63" s="53" t="s">
        <v>40</v>
      </c>
    </row>
    <row r="64" spans="1:10">
      <c r="A64" s="30" t="s">
        <v>428</v>
      </c>
      <c r="B64" t="s">
        <v>18</v>
      </c>
      <c r="C64" t="s">
        <v>39</v>
      </c>
      <c r="D64" t="s">
        <v>13</v>
      </c>
      <c r="E64" t="s">
        <v>13</v>
      </c>
      <c r="F64" t="s">
        <v>14</v>
      </c>
      <c r="G64" t="s">
        <v>15</v>
      </c>
      <c r="H64">
        <v>1</v>
      </c>
      <c r="I64">
        <v>1</v>
      </c>
      <c r="J64" s="53" t="s">
        <v>41</v>
      </c>
    </row>
    <row r="65" spans="1:10">
      <c r="A65" s="30" t="s">
        <v>428</v>
      </c>
      <c r="B65" t="s">
        <v>18</v>
      </c>
      <c r="C65" t="s">
        <v>39</v>
      </c>
      <c r="D65" t="s">
        <v>13</v>
      </c>
      <c r="E65" t="s">
        <v>13</v>
      </c>
      <c r="F65" t="s">
        <v>30</v>
      </c>
      <c r="G65" t="s">
        <v>31</v>
      </c>
      <c r="H65">
        <v>1</v>
      </c>
      <c r="I65">
        <v>1</v>
      </c>
      <c r="J65" s="53" t="s">
        <v>41</v>
      </c>
    </row>
    <row r="66" spans="1:10">
      <c r="A66" s="30" t="s">
        <v>428</v>
      </c>
      <c r="B66" t="s">
        <v>18</v>
      </c>
      <c r="C66" t="s">
        <v>12</v>
      </c>
      <c r="D66" t="s">
        <v>13</v>
      </c>
      <c r="E66" t="s">
        <v>13</v>
      </c>
      <c r="F66" t="s">
        <v>32</v>
      </c>
      <c r="G66" t="s">
        <v>31</v>
      </c>
      <c r="H66">
        <v>1</v>
      </c>
      <c r="I66">
        <v>1</v>
      </c>
      <c r="J66" s="53" t="s">
        <v>41</v>
      </c>
    </row>
    <row r="67" spans="1:10">
      <c r="A67" s="30" t="s">
        <v>429</v>
      </c>
      <c r="B67" t="s">
        <v>21</v>
      </c>
      <c r="C67" t="s">
        <v>39</v>
      </c>
      <c r="D67" t="s">
        <v>13</v>
      </c>
      <c r="E67" t="s">
        <v>13</v>
      </c>
      <c r="F67" t="s">
        <v>14</v>
      </c>
      <c r="G67" t="s">
        <v>15</v>
      </c>
      <c r="H67">
        <v>1</v>
      </c>
      <c r="I67">
        <v>1</v>
      </c>
      <c r="J67" s="53" t="s">
        <v>42</v>
      </c>
    </row>
    <row r="68" spans="1:10">
      <c r="A68" s="30" t="s">
        <v>429</v>
      </c>
      <c r="B68" t="s">
        <v>21</v>
      </c>
      <c r="C68" t="s">
        <v>39</v>
      </c>
      <c r="D68" t="s">
        <v>13</v>
      </c>
      <c r="E68" t="s">
        <v>13</v>
      </c>
      <c r="F68" t="s">
        <v>30</v>
      </c>
      <c r="G68" t="s">
        <v>31</v>
      </c>
      <c r="H68">
        <v>1</v>
      </c>
      <c r="I68">
        <v>1</v>
      </c>
      <c r="J68" s="53" t="s">
        <v>42</v>
      </c>
    </row>
    <row r="69" spans="1:10">
      <c r="A69" s="30" t="s">
        <v>429</v>
      </c>
      <c r="B69" t="s">
        <v>21</v>
      </c>
      <c r="C69" t="s">
        <v>12</v>
      </c>
      <c r="D69" t="s">
        <v>13</v>
      </c>
      <c r="E69" t="s">
        <v>13</v>
      </c>
      <c r="F69" t="s">
        <v>32</v>
      </c>
      <c r="G69" t="s">
        <v>31</v>
      </c>
      <c r="H69">
        <v>1</v>
      </c>
      <c r="I69">
        <v>1</v>
      </c>
      <c r="J69" s="53" t="s">
        <v>42</v>
      </c>
    </row>
    <row r="70" spans="1:10">
      <c r="A70" s="30" t="s">
        <v>427</v>
      </c>
      <c r="B70" t="s">
        <v>11</v>
      </c>
      <c r="C70" t="s">
        <v>39</v>
      </c>
      <c r="D70" t="s">
        <v>13</v>
      </c>
      <c r="E70" t="s">
        <v>13</v>
      </c>
      <c r="F70" t="s">
        <v>14</v>
      </c>
      <c r="G70" t="s">
        <v>15</v>
      </c>
      <c r="H70">
        <v>-1</v>
      </c>
      <c r="I70">
        <v>1</v>
      </c>
      <c r="J70" s="53" t="s">
        <v>40</v>
      </c>
    </row>
    <row r="71" spans="1:10">
      <c r="A71" s="30" t="s">
        <v>427</v>
      </c>
      <c r="B71" t="s">
        <v>11</v>
      </c>
      <c r="C71" t="s">
        <v>39</v>
      </c>
      <c r="D71" t="s">
        <v>13</v>
      </c>
      <c r="E71" t="s">
        <v>13</v>
      </c>
      <c r="F71" t="s">
        <v>30</v>
      </c>
      <c r="G71" t="s">
        <v>31</v>
      </c>
      <c r="H71">
        <v>-1</v>
      </c>
      <c r="I71">
        <v>1</v>
      </c>
      <c r="J71" s="53" t="s">
        <v>40</v>
      </c>
    </row>
    <row r="72" spans="1:10">
      <c r="A72" s="30" t="s">
        <v>427</v>
      </c>
      <c r="B72" t="s">
        <v>11</v>
      </c>
      <c r="C72" t="s">
        <v>12</v>
      </c>
      <c r="D72" t="s">
        <v>13</v>
      </c>
      <c r="E72" t="s">
        <v>13</v>
      </c>
      <c r="F72" t="s">
        <v>32</v>
      </c>
      <c r="G72" t="s">
        <v>31</v>
      </c>
      <c r="H72">
        <v>-1</v>
      </c>
      <c r="I72">
        <v>1</v>
      </c>
      <c r="J72" s="53" t="s">
        <v>40</v>
      </c>
    </row>
    <row r="73" spans="1:10">
      <c r="A73" t="s">
        <v>43</v>
      </c>
      <c r="B73" t="s">
        <v>43</v>
      </c>
      <c r="C73" t="s">
        <v>12</v>
      </c>
      <c r="D73" t="s">
        <v>13</v>
      </c>
      <c r="E73" t="s">
        <v>13</v>
      </c>
      <c r="F73" t="s">
        <v>30</v>
      </c>
      <c r="G73" t="s">
        <v>31</v>
      </c>
      <c r="H73">
        <v>-1</v>
      </c>
      <c r="I73">
        <v>1</v>
      </c>
      <c r="J73" s="53" t="s">
        <v>44</v>
      </c>
    </row>
    <row r="74" spans="1:10">
      <c r="A74" t="s">
        <v>43</v>
      </c>
      <c r="B74" t="s">
        <v>43</v>
      </c>
      <c r="C74" t="s">
        <v>12</v>
      </c>
      <c r="D74" t="s">
        <v>13</v>
      </c>
      <c r="E74" t="s">
        <v>13</v>
      </c>
      <c r="F74" t="s">
        <v>32</v>
      </c>
      <c r="G74" t="s">
        <v>31</v>
      </c>
      <c r="H74">
        <v>-1</v>
      </c>
      <c r="I74">
        <v>1</v>
      </c>
      <c r="J74" s="53" t="s">
        <v>44</v>
      </c>
    </row>
    <row r="75" spans="1:10">
      <c r="A75" t="s">
        <v>10</v>
      </c>
      <c r="B75" t="s">
        <v>11</v>
      </c>
      <c r="C75" t="s">
        <v>12</v>
      </c>
      <c r="D75" t="s">
        <v>13</v>
      </c>
      <c r="E75" t="s">
        <v>13</v>
      </c>
      <c r="F75" t="s">
        <v>14</v>
      </c>
      <c r="G75" t="s">
        <v>15</v>
      </c>
      <c r="H75">
        <v>-1</v>
      </c>
      <c r="I75">
        <v>1</v>
      </c>
      <c r="J75" s="53" t="s">
        <v>16</v>
      </c>
    </row>
    <row r="76" spans="1:10">
      <c r="A76" t="s">
        <v>10</v>
      </c>
      <c r="B76" t="s">
        <v>11</v>
      </c>
      <c r="C76" t="s">
        <v>12</v>
      </c>
      <c r="D76" t="s">
        <v>13</v>
      </c>
      <c r="E76" t="s">
        <v>13</v>
      </c>
      <c r="F76" t="s">
        <v>30</v>
      </c>
      <c r="G76" t="s">
        <v>31</v>
      </c>
      <c r="H76">
        <v>-1</v>
      </c>
      <c r="I76">
        <v>1</v>
      </c>
      <c r="J76" s="53" t="s">
        <v>16</v>
      </c>
    </row>
    <row r="77" spans="1:10">
      <c r="A77" t="s">
        <v>10</v>
      </c>
      <c r="B77" t="s">
        <v>11</v>
      </c>
      <c r="C77" t="s">
        <v>12</v>
      </c>
      <c r="D77" t="s">
        <v>13</v>
      </c>
      <c r="E77" t="s">
        <v>13</v>
      </c>
      <c r="F77" t="s">
        <v>32</v>
      </c>
      <c r="G77" t="s">
        <v>31</v>
      </c>
      <c r="H77">
        <v>-1</v>
      </c>
      <c r="I77">
        <v>1</v>
      </c>
      <c r="J77" s="53" t="s">
        <v>16</v>
      </c>
    </row>
    <row r="78" spans="1:10">
      <c r="A78" t="s">
        <v>49</v>
      </c>
      <c r="B78" t="s">
        <v>43</v>
      </c>
      <c r="C78" t="s">
        <v>12</v>
      </c>
      <c r="D78" t="s">
        <v>50</v>
      </c>
      <c r="E78" t="s">
        <v>47</v>
      </c>
      <c r="F78" t="s">
        <v>30</v>
      </c>
      <c r="G78" s="30" t="s">
        <v>15</v>
      </c>
      <c r="H78">
        <v>1</v>
      </c>
      <c r="I78">
        <v>1</v>
      </c>
      <c r="J78" s="53" t="s">
        <v>51</v>
      </c>
    </row>
    <row r="79" spans="1:10">
      <c r="A79" t="s">
        <v>49</v>
      </c>
      <c r="B79" t="s">
        <v>43</v>
      </c>
      <c r="C79" t="s">
        <v>12</v>
      </c>
      <c r="D79" t="s">
        <v>50</v>
      </c>
      <c r="E79" t="s">
        <v>47</v>
      </c>
      <c r="F79" t="s">
        <v>32</v>
      </c>
      <c r="G79" s="30" t="s">
        <v>15</v>
      </c>
      <c r="H79">
        <v>1</v>
      </c>
      <c r="I79">
        <v>1</v>
      </c>
      <c r="J79" s="53" t="s">
        <v>51</v>
      </c>
    </row>
    <row r="80" spans="1:10">
      <c r="A80" t="s">
        <v>49</v>
      </c>
      <c r="B80" t="s">
        <v>43</v>
      </c>
      <c r="C80" t="s">
        <v>12</v>
      </c>
      <c r="D80" t="s">
        <v>50</v>
      </c>
      <c r="E80" t="s">
        <v>72</v>
      </c>
      <c r="F80" t="s">
        <v>30</v>
      </c>
      <c r="G80" s="30" t="s">
        <v>15</v>
      </c>
      <c r="H80">
        <v>1</v>
      </c>
      <c r="I80">
        <v>1</v>
      </c>
      <c r="J80" s="53" t="s">
        <v>51</v>
      </c>
    </row>
    <row r="81" spans="1:10">
      <c r="A81" t="s">
        <v>49</v>
      </c>
      <c r="B81" t="s">
        <v>43</v>
      </c>
      <c r="C81" t="s">
        <v>12</v>
      </c>
      <c r="D81" t="s">
        <v>50</v>
      </c>
      <c r="E81" t="s">
        <v>72</v>
      </c>
      <c r="F81" t="s">
        <v>32</v>
      </c>
      <c r="G81" s="30" t="s">
        <v>15</v>
      </c>
      <c r="H81">
        <v>1</v>
      </c>
      <c r="I81">
        <v>1</v>
      </c>
      <c r="J81" s="53" t="s">
        <v>51</v>
      </c>
    </row>
    <row r="82" spans="1:10">
      <c r="A82" t="s">
        <v>45</v>
      </c>
      <c r="B82" t="s">
        <v>43</v>
      </c>
      <c r="C82" t="s">
        <v>12</v>
      </c>
      <c r="D82" t="s">
        <v>46</v>
      </c>
      <c r="E82" t="s">
        <v>47</v>
      </c>
      <c r="F82" t="s">
        <v>30</v>
      </c>
      <c r="G82" t="s">
        <v>31</v>
      </c>
      <c r="H82">
        <v>1</v>
      </c>
      <c r="I82">
        <v>1</v>
      </c>
      <c r="J82" s="53" t="s">
        <v>48</v>
      </c>
    </row>
    <row r="83" spans="1:10">
      <c r="A83" t="s">
        <v>45</v>
      </c>
      <c r="B83" t="s">
        <v>43</v>
      </c>
      <c r="C83" t="s">
        <v>12</v>
      </c>
      <c r="D83" t="s">
        <v>46</v>
      </c>
      <c r="E83" t="s">
        <v>47</v>
      </c>
      <c r="F83" t="s">
        <v>32</v>
      </c>
      <c r="G83" t="s">
        <v>31</v>
      </c>
      <c r="H83">
        <v>1</v>
      </c>
      <c r="I83">
        <v>1</v>
      </c>
      <c r="J83" s="53" t="s">
        <v>48</v>
      </c>
    </row>
    <row r="84" spans="1:10">
      <c r="A84" t="s">
        <v>45</v>
      </c>
      <c r="B84" t="s">
        <v>43</v>
      </c>
      <c r="C84" t="s">
        <v>12</v>
      </c>
      <c r="D84" t="s">
        <v>46</v>
      </c>
      <c r="E84" t="s">
        <v>72</v>
      </c>
      <c r="F84" t="s">
        <v>30</v>
      </c>
      <c r="G84" t="s">
        <v>31</v>
      </c>
      <c r="H84">
        <v>1</v>
      </c>
      <c r="I84">
        <v>1</v>
      </c>
      <c r="J84" s="53" t="s">
        <v>48</v>
      </c>
    </row>
    <row r="85" spans="1:10">
      <c r="A85" t="s">
        <v>45</v>
      </c>
      <c r="B85" t="s">
        <v>43</v>
      </c>
      <c r="C85" t="s">
        <v>12</v>
      </c>
      <c r="D85" t="s">
        <v>46</v>
      </c>
      <c r="E85" t="s">
        <v>72</v>
      </c>
      <c r="F85" t="s">
        <v>32</v>
      </c>
      <c r="G85" t="s">
        <v>31</v>
      </c>
      <c r="H85">
        <v>1</v>
      </c>
      <c r="I85">
        <v>1</v>
      </c>
      <c r="J85" s="53" t="s">
        <v>48</v>
      </c>
    </row>
    <row r="86" spans="1:10">
      <c r="A86" t="s">
        <v>33</v>
      </c>
      <c r="B86" t="s">
        <v>33</v>
      </c>
      <c r="C86" t="s">
        <v>12</v>
      </c>
      <c r="D86" t="s">
        <v>13</v>
      </c>
      <c r="E86" t="s">
        <v>13</v>
      </c>
      <c r="F86" t="s">
        <v>14</v>
      </c>
      <c r="G86" t="s">
        <v>15</v>
      </c>
      <c r="H86">
        <v>1</v>
      </c>
      <c r="I86">
        <v>1</v>
      </c>
      <c r="J86" s="53" t="s">
        <v>34</v>
      </c>
    </row>
    <row r="87" spans="1:10">
      <c r="A87" t="s">
        <v>33</v>
      </c>
      <c r="B87" t="s">
        <v>33</v>
      </c>
      <c r="C87" t="s">
        <v>12</v>
      </c>
      <c r="D87" t="s">
        <v>13</v>
      </c>
      <c r="E87" t="s">
        <v>13</v>
      </c>
      <c r="F87" t="s">
        <v>30</v>
      </c>
      <c r="G87" t="s">
        <v>31</v>
      </c>
      <c r="H87">
        <v>1</v>
      </c>
      <c r="I87">
        <v>1</v>
      </c>
      <c r="J87" s="53" t="s">
        <v>34</v>
      </c>
    </row>
    <row r="88" spans="1:10">
      <c r="A88" t="s">
        <v>35</v>
      </c>
      <c r="B88" t="s">
        <v>35</v>
      </c>
      <c r="C88" t="s">
        <v>12</v>
      </c>
      <c r="D88" t="s">
        <v>13</v>
      </c>
      <c r="E88" t="s">
        <v>13</v>
      </c>
      <c r="F88" t="s">
        <v>14</v>
      </c>
      <c r="G88" t="s">
        <v>15</v>
      </c>
      <c r="H88">
        <v>-1</v>
      </c>
      <c r="I88">
        <v>1</v>
      </c>
      <c r="J88" s="53" t="s">
        <v>36</v>
      </c>
    </row>
    <row r="89" spans="1:10">
      <c r="A89" t="s">
        <v>35</v>
      </c>
      <c r="B89" t="s">
        <v>35</v>
      </c>
      <c r="C89" t="s">
        <v>12</v>
      </c>
      <c r="D89" t="s">
        <v>13</v>
      </c>
      <c r="E89" t="s">
        <v>13</v>
      </c>
      <c r="F89" t="s">
        <v>30</v>
      </c>
      <c r="G89" t="s">
        <v>31</v>
      </c>
      <c r="H89">
        <v>-1</v>
      </c>
      <c r="I89">
        <v>1</v>
      </c>
      <c r="J89" s="53" t="s">
        <v>36</v>
      </c>
    </row>
  </sheetData>
  <autoFilter ref="A1:J86" xr:uid="{7838926A-4835-1A4C-A577-1C02FA1EB720}">
    <sortState xmlns:xlrd2="http://schemas.microsoft.com/office/spreadsheetml/2017/richdata2" ref="A2:J89">
      <sortCondition ref="A1:A86"/>
    </sortState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zoomScale="135" workbookViewId="0">
      <selection activeCell="E26" sqref="E26"/>
    </sheetView>
  </sheetViews>
  <sheetFormatPr baseColWidth="10" defaultColWidth="11.44140625" defaultRowHeight="14.4"/>
  <cols>
    <col min="1" max="1" width="16.21875" bestFit="1" customWidth="1"/>
    <col min="2" max="2" width="17.21875" bestFit="1" customWidth="1"/>
    <col min="3" max="3" width="9.21875" bestFit="1" customWidth="1"/>
    <col min="4" max="4" width="9.77734375" bestFit="1" customWidth="1"/>
    <col min="5" max="5" width="20.33203125" bestFit="1" customWidth="1"/>
    <col min="6" max="6" width="23.77734375" bestFit="1" customWidth="1"/>
  </cols>
  <sheetData>
    <row r="1" spans="1:6" s="5" customFormat="1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AE1AE-0ED6-4B2E-B092-2639765DD066}">
  <sheetPr>
    <tabColor theme="9"/>
  </sheetPr>
  <dimension ref="A1:J3"/>
  <sheetViews>
    <sheetView tabSelected="1" zoomScale="135" workbookViewId="0">
      <selection activeCell="E2" sqref="E2"/>
    </sheetView>
  </sheetViews>
  <sheetFormatPr baseColWidth="10" defaultColWidth="11.44140625" defaultRowHeight="14.4"/>
  <cols>
    <col min="1" max="1" width="16.21875" bestFit="1" customWidth="1"/>
    <col min="2" max="2" width="17.21875" bestFit="1" customWidth="1"/>
    <col min="3" max="3" width="9.21875" bestFit="1" customWidth="1"/>
    <col min="4" max="4" width="9.77734375" bestFit="1" customWidth="1"/>
    <col min="5" max="5" width="9.77734375" customWidth="1"/>
    <col min="6" max="6" width="20.33203125" bestFit="1" customWidth="1"/>
    <col min="7" max="7" width="23.77734375" bestFit="1" customWidth="1"/>
    <col min="8" max="8" width="10" bestFit="1" customWidth="1"/>
    <col min="9" max="9" width="13.6640625" bestFit="1" customWidth="1"/>
  </cols>
  <sheetData>
    <row r="1" spans="1:10" s="5" customFormat="1">
      <c r="A1" s="5" t="s">
        <v>5</v>
      </c>
      <c r="B1" s="5" t="s">
        <v>0</v>
      </c>
      <c r="C1" s="5" t="s">
        <v>73</v>
      </c>
      <c r="D1" s="5" t="s">
        <v>74</v>
      </c>
      <c r="E1" s="5" t="s">
        <v>86</v>
      </c>
      <c r="F1" s="5" t="s">
        <v>75</v>
      </c>
      <c r="G1" s="5" t="s">
        <v>453</v>
      </c>
      <c r="H1" s="5" t="s">
        <v>455</v>
      </c>
      <c r="I1" s="5" t="s">
        <v>451</v>
      </c>
      <c r="J1" s="5" t="s">
        <v>454</v>
      </c>
    </row>
    <row r="2" spans="1:10" s="10" customFormat="1">
      <c r="A2" s="10" t="s">
        <v>30</v>
      </c>
      <c r="B2" s="10" t="s">
        <v>77</v>
      </c>
      <c r="C2" s="11" t="s">
        <v>78</v>
      </c>
      <c r="D2" s="11" t="s">
        <v>342</v>
      </c>
      <c r="E2" s="11" t="s">
        <v>77</v>
      </c>
      <c r="F2" s="10" t="s">
        <v>77</v>
      </c>
      <c r="G2" s="10">
        <v>1</v>
      </c>
      <c r="H2" s="10" t="s">
        <v>456</v>
      </c>
      <c r="I2" s="10" t="s">
        <v>452</v>
      </c>
      <c r="J2" s="10">
        <v>120</v>
      </c>
    </row>
    <row r="3" spans="1:10" s="10" customFormat="1">
      <c r="A3" s="10" t="s">
        <v>32</v>
      </c>
      <c r="B3" s="10" t="s">
        <v>77</v>
      </c>
      <c r="C3" s="11" t="s">
        <v>78</v>
      </c>
      <c r="D3" s="11" t="s">
        <v>342</v>
      </c>
      <c r="E3" s="11" t="s">
        <v>77</v>
      </c>
      <c r="F3" s="10" t="s">
        <v>77</v>
      </c>
      <c r="G3" s="10">
        <v>1</v>
      </c>
      <c r="H3" s="10" t="s">
        <v>456</v>
      </c>
      <c r="I3" s="10" t="s">
        <v>452</v>
      </c>
      <c r="J3" s="10">
        <v>120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45"/>
  <sheetViews>
    <sheetView zoomScaleNormal="100" workbookViewId="0">
      <pane ySplit="1" topLeftCell="A2" activePane="bottomLeft" state="frozen"/>
      <selection pane="bottomLeft" activeCell="E26" sqref="E26"/>
    </sheetView>
  </sheetViews>
  <sheetFormatPr baseColWidth="10" defaultColWidth="9.21875" defaultRowHeight="14.4"/>
  <cols>
    <col min="1" max="1" width="11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21875" bestFit="1" customWidth="1"/>
    <col min="6" max="6" width="11.6640625" bestFit="1" customWidth="1"/>
    <col min="7" max="7" width="7.6640625" bestFit="1" customWidth="1"/>
    <col min="8" max="8" width="10.77734375" bestFit="1" customWidth="1"/>
    <col min="9" max="9" width="20.7773437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  <row r="222" spans="1:13">
      <c r="A222" s="4">
        <v>45657</v>
      </c>
      <c r="B222" s="4">
        <v>44927</v>
      </c>
      <c r="C222" s="4">
        <v>45291</v>
      </c>
      <c r="D222" s="4" t="s">
        <v>14</v>
      </c>
      <c r="E222" s="8" t="s">
        <v>78</v>
      </c>
      <c r="F222" s="6" t="s">
        <v>342</v>
      </c>
      <c r="G222" t="s">
        <v>91</v>
      </c>
      <c r="H222" t="s">
        <v>77</v>
      </c>
      <c r="I222" t="s">
        <v>92</v>
      </c>
      <c r="J222" t="s">
        <v>418</v>
      </c>
      <c r="K222" s="9">
        <v>0.18</v>
      </c>
      <c r="L222" s="17">
        <v>0</v>
      </c>
      <c r="M222" t="s">
        <v>93</v>
      </c>
    </row>
    <row r="223" spans="1:13">
      <c r="A223" s="4">
        <v>45657</v>
      </c>
      <c r="B223" s="4">
        <v>45292</v>
      </c>
      <c r="C223" s="4">
        <v>45657</v>
      </c>
      <c r="D223" s="4" t="s">
        <v>14</v>
      </c>
      <c r="E223" s="8" t="s">
        <v>78</v>
      </c>
      <c r="F223" s="6" t="s">
        <v>342</v>
      </c>
      <c r="G223" t="s">
        <v>91</v>
      </c>
      <c r="H223" t="s">
        <v>77</v>
      </c>
      <c r="I223" t="s">
        <v>92</v>
      </c>
      <c r="J223" t="s">
        <v>418</v>
      </c>
      <c r="K223" s="9">
        <v>0.18</v>
      </c>
      <c r="L223" s="17">
        <v>0</v>
      </c>
      <c r="M223" t="s">
        <v>93</v>
      </c>
    </row>
    <row r="224" spans="1:13">
      <c r="A224" s="4">
        <v>45657</v>
      </c>
      <c r="B224" s="4">
        <v>45658</v>
      </c>
      <c r="C224" s="4">
        <v>46022</v>
      </c>
      <c r="D224" s="4" t="s">
        <v>14</v>
      </c>
      <c r="E224" s="8" t="s">
        <v>78</v>
      </c>
      <c r="F224" s="6" t="s">
        <v>342</v>
      </c>
      <c r="G224" t="s">
        <v>91</v>
      </c>
      <c r="H224" t="s">
        <v>77</v>
      </c>
      <c r="I224" t="s">
        <v>92</v>
      </c>
      <c r="J224" t="s">
        <v>418</v>
      </c>
      <c r="K224" s="9">
        <v>0.18</v>
      </c>
      <c r="L224" s="17">
        <v>0</v>
      </c>
      <c r="M224" t="s">
        <v>93</v>
      </c>
    </row>
    <row r="225" spans="1:13">
      <c r="A225" s="4">
        <v>45657</v>
      </c>
      <c r="B225" s="4">
        <v>46023</v>
      </c>
      <c r="C225" s="4">
        <v>46387</v>
      </c>
      <c r="D225" s="4" t="s">
        <v>14</v>
      </c>
      <c r="E225" s="8" t="s">
        <v>78</v>
      </c>
      <c r="F225" s="6" t="s">
        <v>342</v>
      </c>
      <c r="G225" t="s">
        <v>91</v>
      </c>
      <c r="H225" t="s">
        <v>77</v>
      </c>
      <c r="I225" t="s">
        <v>92</v>
      </c>
      <c r="J225" t="s">
        <v>418</v>
      </c>
      <c r="K225" s="9">
        <v>0.18</v>
      </c>
      <c r="L225" s="17">
        <v>0</v>
      </c>
      <c r="M225" t="s">
        <v>93</v>
      </c>
    </row>
    <row r="226" spans="1:13">
      <c r="A226" s="4">
        <v>45657</v>
      </c>
      <c r="B226" s="4">
        <v>44927</v>
      </c>
      <c r="C226" s="4">
        <v>45291</v>
      </c>
      <c r="D226" s="4" t="s">
        <v>30</v>
      </c>
      <c r="E226" s="8" t="s">
        <v>78</v>
      </c>
      <c r="F226" s="6" t="s">
        <v>342</v>
      </c>
      <c r="G226" t="s">
        <v>91</v>
      </c>
      <c r="H226" t="s">
        <v>77</v>
      </c>
      <c r="I226" t="s">
        <v>92</v>
      </c>
      <c r="J226" t="s">
        <v>418</v>
      </c>
      <c r="K226" s="9">
        <v>0.18</v>
      </c>
      <c r="L226" s="17">
        <v>0</v>
      </c>
      <c r="M226" t="s">
        <v>93</v>
      </c>
    </row>
    <row r="227" spans="1:13">
      <c r="A227" s="4">
        <v>45657</v>
      </c>
      <c r="B227" s="4">
        <v>45292</v>
      </c>
      <c r="C227" s="4">
        <v>45657</v>
      </c>
      <c r="D227" s="4" t="s">
        <v>30</v>
      </c>
      <c r="E227" s="8" t="s">
        <v>78</v>
      </c>
      <c r="F227" s="6" t="s">
        <v>342</v>
      </c>
      <c r="G227" t="s">
        <v>91</v>
      </c>
      <c r="H227" t="s">
        <v>77</v>
      </c>
      <c r="I227" t="s">
        <v>92</v>
      </c>
      <c r="J227" t="s">
        <v>418</v>
      </c>
      <c r="K227" s="9">
        <v>0.18</v>
      </c>
      <c r="L227" s="17">
        <v>0</v>
      </c>
      <c r="M227" t="s">
        <v>93</v>
      </c>
    </row>
    <row r="228" spans="1:13">
      <c r="A228" s="4">
        <v>45657</v>
      </c>
      <c r="B228" s="4">
        <v>45658</v>
      </c>
      <c r="C228" s="4">
        <v>46022</v>
      </c>
      <c r="D228" s="4" t="s">
        <v>30</v>
      </c>
      <c r="E228" s="8" t="s">
        <v>78</v>
      </c>
      <c r="F228" s="6" t="s">
        <v>342</v>
      </c>
      <c r="G228" t="s">
        <v>91</v>
      </c>
      <c r="H228" t="s">
        <v>77</v>
      </c>
      <c r="I228" t="s">
        <v>92</v>
      </c>
      <c r="J228" t="s">
        <v>418</v>
      </c>
      <c r="K228" s="9">
        <v>0.18</v>
      </c>
      <c r="L228" s="17">
        <v>0</v>
      </c>
      <c r="M228" t="s">
        <v>93</v>
      </c>
    </row>
    <row r="229" spans="1:13">
      <c r="A229" s="4">
        <v>45657</v>
      </c>
      <c r="B229" s="4">
        <v>46023</v>
      </c>
      <c r="C229" s="4">
        <v>46387</v>
      </c>
      <c r="D229" s="4" t="s">
        <v>30</v>
      </c>
      <c r="E229" s="8" t="s">
        <v>78</v>
      </c>
      <c r="F229" s="6" t="s">
        <v>342</v>
      </c>
      <c r="G229" t="s">
        <v>91</v>
      </c>
      <c r="H229" t="s">
        <v>77</v>
      </c>
      <c r="I229" t="s">
        <v>92</v>
      </c>
      <c r="J229" t="s">
        <v>418</v>
      </c>
      <c r="K229" s="9">
        <v>0.18</v>
      </c>
      <c r="L229" s="17">
        <v>0</v>
      </c>
      <c r="M229" t="s">
        <v>93</v>
      </c>
    </row>
    <row r="230" spans="1:13">
      <c r="A230" s="4">
        <v>45657</v>
      </c>
      <c r="B230" s="4">
        <v>44927</v>
      </c>
      <c r="C230" s="4">
        <v>45291</v>
      </c>
      <c r="D230" s="4" t="s">
        <v>32</v>
      </c>
      <c r="E230" s="8" t="s">
        <v>78</v>
      </c>
      <c r="F230" s="6" t="s">
        <v>342</v>
      </c>
      <c r="G230" t="s">
        <v>91</v>
      </c>
      <c r="H230" t="s">
        <v>77</v>
      </c>
      <c r="I230" t="s">
        <v>92</v>
      </c>
      <c r="J230" t="s">
        <v>418</v>
      </c>
      <c r="K230" s="9">
        <v>0.18</v>
      </c>
      <c r="L230" s="17">
        <v>0</v>
      </c>
      <c r="M230" t="s">
        <v>93</v>
      </c>
    </row>
    <row r="231" spans="1:13">
      <c r="A231" s="4">
        <v>45657</v>
      </c>
      <c r="B231" s="4">
        <v>45292</v>
      </c>
      <c r="C231" s="4">
        <v>45657</v>
      </c>
      <c r="D231" s="4" t="s">
        <v>32</v>
      </c>
      <c r="E231" s="8" t="s">
        <v>78</v>
      </c>
      <c r="F231" s="6" t="s">
        <v>342</v>
      </c>
      <c r="G231" t="s">
        <v>91</v>
      </c>
      <c r="H231" t="s">
        <v>77</v>
      </c>
      <c r="I231" t="s">
        <v>92</v>
      </c>
      <c r="J231" t="s">
        <v>418</v>
      </c>
      <c r="K231" s="9">
        <v>0.18</v>
      </c>
      <c r="L231" s="17">
        <v>0</v>
      </c>
      <c r="M231" t="s">
        <v>93</v>
      </c>
    </row>
    <row r="232" spans="1:13">
      <c r="A232" s="4">
        <v>45657</v>
      </c>
      <c r="B232" s="4">
        <v>45658</v>
      </c>
      <c r="C232" s="4">
        <v>46022</v>
      </c>
      <c r="D232" s="4" t="s">
        <v>32</v>
      </c>
      <c r="E232" s="8" t="s">
        <v>78</v>
      </c>
      <c r="F232" s="6" t="s">
        <v>342</v>
      </c>
      <c r="G232" t="s">
        <v>91</v>
      </c>
      <c r="H232" t="s">
        <v>77</v>
      </c>
      <c r="I232" t="s">
        <v>92</v>
      </c>
      <c r="J232" t="s">
        <v>418</v>
      </c>
      <c r="K232" s="9">
        <v>0.18</v>
      </c>
      <c r="L232" s="17">
        <v>0</v>
      </c>
      <c r="M232" t="s">
        <v>93</v>
      </c>
    </row>
    <row r="233" spans="1:13">
      <c r="A233" s="4">
        <v>45657</v>
      </c>
      <c r="B233" s="4">
        <v>46023</v>
      </c>
      <c r="C233" s="4">
        <v>46387</v>
      </c>
      <c r="D233" s="4" t="s">
        <v>32</v>
      </c>
      <c r="E233" s="8" t="s">
        <v>78</v>
      </c>
      <c r="F233" s="6" t="s">
        <v>342</v>
      </c>
      <c r="G233" t="s">
        <v>91</v>
      </c>
      <c r="H233" t="s">
        <v>77</v>
      </c>
      <c r="I233" t="s">
        <v>92</v>
      </c>
      <c r="J233" t="s">
        <v>418</v>
      </c>
      <c r="K233" s="9">
        <v>0.18</v>
      </c>
      <c r="L233" s="17">
        <v>0</v>
      </c>
      <c r="M233" t="s">
        <v>93</v>
      </c>
    </row>
    <row r="234" spans="1:13">
      <c r="A234" s="4">
        <v>45657</v>
      </c>
      <c r="B234" s="4">
        <v>44927</v>
      </c>
      <c r="C234" s="4">
        <v>45291</v>
      </c>
      <c r="D234" s="4" t="s">
        <v>14</v>
      </c>
      <c r="E234" s="8" t="s">
        <v>78</v>
      </c>
      <c r="F234" s="6" t="s">
        <v>342</v>
      </c>
      <c r="G234" t="s">
        <v>91</v>
      </c>
      <c r="H234" t="s">
        <v>77</v>
      </c>
      <c r="I234" t="s">
        <v>100</v>
      </c>
      <c r="J234" t="s">
        <v>418</v>
      </c>
      <c r="K234" s="9">
        <v>0.02</v>
      </c>
      <c r="L234" s="17">
        <v>0</v>
      </c>
      <c r="M234" t="s">
        <v>93</v>
      </c>
    </row>
    <row r="235" spans="1:13">
      <c r="A235" s="4">
        <v>45657</v>
      </c>
      <c r="B235" s="4">
        <v>45292</v>
      </c>
      <c r="C235" s="4">
        <v>45657</v>
      </c>
      <c r="D235" s="4" t="s">
        <v>14</v>
      </c>
      <c r="E235" s="8" t="s">
        <v>78</v>
      </c>
      <c r="F235" s="6" t="s">
        <v>342</v>
      </c>
      <c r="G235" t="s">
        <v>91</v>
      </c>
      <c r="H235" t="s">
        <v>77</v>
      </c>
      <c r="I235" t="s">
        <v>100</v>
      </c>
      <c r="J235" t="s">
        <v>418</v>
      </c>
      <c r="K235" s="9">
        <v>0.02</v>
      </c>
      <c r="L235" s="17">
        <v>0</v>
      </c>
      <c r="M235" t="s">
        <v>93</v>
      </c>
    </row>
    <row r="236" spans="1:13">
      <c r="A236" s="4">
        <v>45657</v>
      </c>
      <c r="B236" s="4">
        <v>45658</v>
      </c>
      <c r="C236" s="4">
        <v>46022</v>
      </c>
      <c r="D236" s="4" t="s">
        <v>14</v>
      </c>
      <c r="E236" s="8" t="s">
        <v>78</v>
      </c>
      <c r="F236" s="6" t="s">
        <v>342</v>
      </c>
      <c r="G236" t="s">
        <v>91</v>
      </c>
      <c r="H236" t="s">
        <v>77</v>
      </c>
      <c r="I236" t="s">
        <v>100</v>
      </c>
      <c r="J236" t="s">
        <v>418</v>
      </c>
      <c r="K236" s="9">
        <v>0.02</v>
      </c>
      <c r="L236" s="17">
        <v>0</v>
      </c>
      <c r="M236" t="s">
        <v>93</v>
      </c>
    </row>
    <row r="237" spans="1:13">
      <c r="A237" s="4">
        <v>45657</v>
      </c>
      <c r="B237" s="4">
        <v>46023</v>
      </c>
      <c r="C237" s="4">
        <v>46387</v>
      </c>
      <c r="D237" s="4" t="s">
        <v>14</v>
      </c>
      <c r="E237" s="8" t="s">
        <v>78</v>
      </c>
      <c r="F237" s="6" t="s">
        <v>342</v>
      </c>
      <c r="G237" t="s">
        <v>91</v>
      </c>
      <c r="H237" t="s">
        <v>77</v>
      </c>
      <c r="I237" t="s">
        <v>100</v>
      </c>
      <c r="J237" t="s">
        <v>418</v>
      </c>
      <c r="K237" s="9">
        <v>0.02</v>
      </c>
      <c r="L237" s="17">
        <v>0</v>
      </c>
      <c r="M237" t="s">
        <v>93</v>
      </c>
    </row>
    <row r="238" spans="1:13">
      <c r="A238" s="4">
        <v>45657</v>
      </c>
      <c r="B238" s="4">
        <v>44927</v>
      </c>
      <c r="C238" s="4">
        <v>45291</v>
      </c>
      <c r="D238" s="4" t="s">
        <v>30</v>
      </c>
      <c r="E238" s="8" t="s">
        <v>78</v>
      </c>
      <c r="F238" s="6" t="s">
        <v>342</v>
      </c>
      <c r="G238" t="s">
        <v>91</v>
      </c>
      <c r="H238" t="s">
        <v>77</v>
      </c>
      <c r="I238" t="s">
        <v>100</v>
      </c>
      <c r="J238" t="s">
        <v>418</v>
      </c>
      <c r="K238" s="9">
        <v>0.02</v>
      </c>
      <c r="L238" s="17">
        <v>0</v>
      </c>
      <c r="M238" t="s">
        <v>93</v>
      </c>
    </row>
    <row r="239" spans="1:13">
      <c r="A239" s="4">
        <v>45657</v>
      </c>
      <c r="B239" s="4">
        <v>45292</v>
      </c>
      <c r="C239" s="4">
        <v>45657</v>
      </c>
      <c r="D239" s="4" t="s">
        <v>30</v>
      </c>
      <c r="E239" s="8" t="s">
        <v>78</v>
      </c>
      <c r="F239" s="6" t="s">
        <v>342</v>
      </c>
      <c r="G239" t="s">
        <v>91</v>
      </c>
      <c r="H239" t="s">
        <v>77</v>
      </c>
      <c r="I239" t="s">
        <v>100</v>
      </c>
      <c r="J239" t="s">
        <v>418</v>
      </c>
      <c r="K239" s="9">
        <v>0.02</v>
      </c>
      <c r="L239" s="17">
        <v>0</v>
      </c>
      <c r="M239" t="s">
        <v>93</v>
      </c>
    </row>
    <row r="240" spans="1:13">
      <c r="A240" s="4">
        <v>45657</v>
      </c>
      <c r="B240" s="4">
        <v>45658</v>
      </c>
      <c r="C240" s="4">
        <v>46022</v>
      </c>
      <c r="D240" s="4" t="s">
        <v>30</v>
      </c>
      <c r="E240" s="8" t="s">
        <v>78</v>
      </c>
      <c r="F240" s="6" t="s">
        <v>342</v>
      </c>
      <c r="G240" t="s">
        <v>91</v>
      </c>
      <c r="H240" t="s">
        <v>77</v>
      </c>
      <c r="I240" t="s">
        <v>100</v>
      </c>
      <c r="J240" t="s">
        <v>418</v>
      </c>
      <c r="K240" s="9">
        <v>0.02</v>
      </c>
      <c r="L240" s="17">
        <v>0</v>
      </c>
      <c r="M240" t="s">
        <v>93</v>
      </c>
    </row>
    <row r="241" spans="1:13">
      <c r="A241" s="4">
        <v>45657</v>
      </c>
      <c r="B241" s="4">
        <v>46023</v>
      </c>
      <c r="C241" s="4">
        <v>46387</v>
      </c>
      <c r="D241" s="4" t="s">
        <v>30</v>
      </c>
      <c r="E241" s="8" t="s">
        <v>78</v>
      </c>
      <c r="F241" s="6" t="s">
        <v>342</v>
      </c>
      <c r="G241" t="s">
        <v>91</v>
      </c>
      <c r="H241" t="s">
        <v>77</v>
      </c>
      <c r="I241" t="s">
        <v>100</v>
      </c>
      <c r="J241" t="s">
        <v>418</v>
      </c>
      <c r="K241" s="9">
        <v>0.02</v>
      </c>
      <c r="L241" s="17">
        <v>0</v>
      </c>
      <c r="M241" t="s">
        <v>93</v>
      </c>
    </row>
    <row r="242" spans="1:13">
      <c r="A242" s="4">
        <v>45657</v>
      </c>
      <c r="B242" s="4">
        <v>44927</v>
      </c>
      <c r="C242" s="4">
        <v>45291</v>
      </c>
      <c r="D242" s="4" t="s">
        <v>32</v>
      </c>
      <c r="E242" s="8" t="s">
        <v>78</v>
      </c>
      <c r="F242" s="6" t="s">
        <v>342</v>
      </c>
      <c r="G242" t="s">
        <v>91</v>
      </c>
      <c r="H242" t="s">
        <v>77</v>
      </c>
      <c r="I242" t="s">
        <v>100</v>
      </c>
      <c r="J242" t="s">
        <v>418</v>
      </c>
      <c r="K242" s="9">
        <v>0.02</v>
      </c>
      <c r="L242" s="17">
        <v>0</v>
      </c>
      <c r="M242" t="s">
        <v>93</v>
      </c>
    </row>
    <row r="243" spans="1:13">
      <c r="A243" s="4">
        <v>45657</v>
      </c>
      <c r="B243" s="4">
        <v>45292</v>
      </c>
      <c r="C243" s="4">
        <v>45657</v>
      </c>
      <c r="D243" s="4" t="s">
        <v>32</v>
      </c>
      <c r="E243" s="8" t="s">
        <v>78</v>
      </c>
      <c r="F243" s="6" t="s">
        <v>342</v>
      </c>
      <c r="G243" t="s">
        <v>91</v>
      </c>
      <c r="H243" t="s">
        <v>77</v>
      </c>
      <c r="I243" t="s">
        <v>100</v>
      </c>
      <c r="J243" t="s">
        <v>418</v>
      </c>
      <c r="K243" s="9">
        <v>0.02</v>
      </c>
      <c r="L243" s="17">
        <v>0</v>
      </c>
      <c r="M243" t="s">
        <v>93</v>
      </c>
    </row>
    <row r="244" spans="1:13">
      <c r="A244" s="4">
        <v>45657</v>
      </c>
      <c r="B244" s="4">
        <v>45658</v>
      </c>
      <c r="C244" s="4">
        <v>46022</v>
      </c>
      <c r="D244" s="4" t="s">
        <v>32</v>
      </c>
      <c r="E244" s="8" t="s">
        <v>78</v>
      </c>
      <c r="F244" s="6" t="s">
        <v>342</v>
      </c>
      <c r="G244" t="s">
        <v>91</v>
      </c>
      <c r="H244" t="s">
        <v>77</v>
      </c>
      <c r="I244" t="s">
        <v>100</v>
      </c>
      <c r="J244" t="s">
        <v>418</v>
      </c>
      <c r="K244" s="9">
        <v>0.02</v>
      </c>
      <c r="L244" s="17">
        <v>0</v>
      </c>
      <c r="M244" t="s">
        <v>93</v>
      </c>
    </row>
    <row r="245" spans="1:13">
      <c r="A245" s="4">
        <v>45657</v>
      </c>
      <c r="B245" s="4">
        <v>46023</v>
      </c>
      <c r="C245" s="4">
        <v>46387</v>
      </c>
      <c r="D245" s="4" t="s">
        <v>32</v>
      </c>
      <c r="E245" s="8" t="s">
        <v>78</v>
      </c>
      <c r="F245" s="6" t="s">
        <v>342</v>
      </c>
      <c r="G245" t="s">
        <v>91</v>
      </c>
      <c r="H245" t="s">
        <v>77</v>
      </c>
      <c r="I245" t="s">
        <v>100</v>
      </c>
      <c r="J245" t="s">
        <v>418</v>
      </c>
      <c r="K245" s="9">
        <v>0.02</v>
      </c>
      <c r="L245" s="17">
        <v>0</v>
      </c>
      <c r="M245" t="s">
        <v>93</v>
      </c>
    </row>
  </sheetData>
  <phoneticPr fontId="2" type="noConversion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D2" sqref="D2"/>
    </sheetView>
  </sheetViews>
  <sheetFormatPr baseColWidth="10" defaultColWidth="11.44140625" defaultRowHeight="14.4"/>
  <cols>
    <col min="1" max="1" width="10.33203125" style="4" bestFit="1" customWidth="1"/>
    <col min="2" max="2" width="14.21875" bestFit="1" customWidth="1"/>
    <col min="3" max="3" width="15" bestFit="1" customWidth="1"/>
    <col min="4" max="4" width="11.44140625" bestFit="1" customWidth="1"/>
  </cols>
  <sheetData>
    <row r="1" spans="1:5" s="5" customFormat="1">
      <c r="A1" s="5" t="s">
        <v>110</v>
      </c>
      <c r="B1" s="5" t="s">
        <v>111</v>
      </c>
      <c r="C1" s="5" t="s">
        <v>112</v>
      </c>
      <c r="D1" s="5" t="s">
        <v>113</v>
      </c>
    </row>
    <row r="2" spans="1: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>
      <c r="A1055" s="4">
        <v>45980</v>
      </c>
      <c r="B1055" t="s">
        <v>114</v>
      </c>
      <c r="C1055" t="s">
        <v>115</v>
      </c>
      <c r="D1055" s="2">
        <v>5052</v>
      </c>
    </row>
    <row r="1056" spans="1:5">
      <c r="A1056" s="4">
        <v>45981</v>
      </c>
      <c r="B1056" t="s">
        <v>114</v>
      </c>
      <c r="C1056" t="s">
        <v>115</v>
      </c>
      <c r="D1056" s="2">
        <v>5078</v>
      </c>
    </row>
    <row r="1057" spans="1:4">
      <c r="A1057" s="4">
        <v>45982</v>
      </c>
      <c r="B1057" t="s">
        <v>114</v>
      </c>
      <c r="C1057" t="s">
        <v>115</v>
      </c>
      <c r="D1057" s="2">
        <v>5110</v>
      </c>
    </row>
    <row r="1058" spans="1:4">
      <c r="A1058" s="4">
        <v>45983</v>
      </c>
      <c r="B1058" t="s">
        <v>114</v>
      </c>
      <c r="C1058" t="s">
        <v>115</v>
      </c>
      <c r="D1058" s="2">
        <v>5083</v>
      </c>
    </row>
    <row r="1059" spans="1:4">
      <c r="A1059" s="4">
        <v>45984</v>
      </c>
      <c r="B1059" t="s">
        <v>114</v>
      </c>
      <c r="C1059" t="s">
        <v>115</v>
      </c>
      <c r="D1059" s="2">
        <v>5046</v>
      </c>
    </row>
    <row r="1060" spans="1:4">
      <c r="A1060" s="4">
        <v>45985</v>
      </c>
      <c r="B1060" t="s">
        <v>114</v>
      </c>
      <c r="C1060" t="s">
        <v>115</v>
      </c>
      <c r="D1060" s="2">
        <v>5054</v>
      </c>
    </row>
    <row r="1061" spans="1:4">
      <c r="A1061" s="4">
        <v>45986</v>
      </c>
      <c r="B1061" t="s">
        <v>114</v>
      </c>
      <c r="C1061" t="s">
        <v>115</v>
      </c>
      <c r="D1061" s="2">
        <v>5066</v>
      </c>
    </row>
    <row r="1062" spans="1:4">
      <c r="A1062" s="4">
        <v>45987</v>
      </c>
      <c r="B1062" t="s">
        <v>114</v>
      </c>
      <c r="C1062" t="s">
        <v>115</v>
      </c>
      <c r="D1062" s="2">
        <v>5107</v>
      </c>
    </row>
    <row r="1063" spans="1:4">
      <c r="A1063" s="4">
        <v>45988</v>
      </c>
      <c r="B1063" t="s">
        <v>114</v>
      </c>
      <c r="C1063" t="s">
        <v>115</v>
      </c>
      <c r="D1063" s="2">
        <v>5077</v>
      </c>
    </row>
    <row r="1064" spans="1:4">
      <c r="A1064" s="4">
        <v>45989</v>
      </c>
      <c r="B1064" t="s">
        <v>114</v>
      </c>
      <c r="C1064" t="s">
        <v>115</v>
      </c>
      <c r="D1064" s="2">
        <v>5087</v>
      </c>
    </row>
    <row r="1065" spans="1:4">
      <c r="A1065" s="4">
        <v>45990</v>
      </c>
      <c r="B1065" t="s">
        <v>114</v>
      </c>
      <c r="C1065" t="s">
        <v>115</v>
      </c>
      <c r="D1065" s="2">
        <v>5076</v>
      </c>
    </row>
    <row r="1066" spans="1:4">
      <c r="A1066" s="4">
        <v>45991</v>
      </c>
      <c r="B1066" t="s">
        <v>114</v>
      </c>
      <c r="C1066" t="s">
        <v>115</v>
      </c>
      <c r="D1066" s="2">
        <v>5029</v>
      </c>
    </row>
    <row r="1067" spans="1:4">
      <c r="A1067" s="4">
        <v>45992</v>
      </c>
      <c r="B1067" t="s">
        <v>114</v>
      </c>
      <c r="C1067" t="s">
        <v>115</v>
      </c>
      <c r="D1067" s="2">
        <v>5071</v>
      </c>
    </row>
    <row r="1068" spans="1:4">
      <c r="A1068" s="4">
        <v>45993</v>
      </c>
      <c r="B1068" t="s">
        <v>114</v>
      </c>
      <c r="C1068" t="s">
        <v>115</v>
      </c>
      <c r="D1068" s="2">
        <v>5093</v>
      </c>
    </row>
    <row r="1069" spans="1:4">
      <c r="A1069" s="4">
        <v>45994</v>
      </c>
      <c r="B1069" t="s">
        <v>114</v>
      </c>
      <c r="C1069" t="s">
        <v>115</v>
      </c>
      <c r="D1069" s="2">
        <v>5075</v>
      </c>
    </row>
    <row r="1070" spans="1:4">
      <c r="A1070" s="4">
        <v>45995</v>
      </c>
      <c r="B1070" t="s">
        <v>114</v>
      </c>
      <c r="C1070" t="s">
        <v>115</v>
      </c>
      <c r="D1070" s="2">
        <v>5036</v>
      </c>
    </row>
    <row r="1071" spans="1:4">
      <c r="A1071" s="4">
        <v>45996</v>
      </c>
      <c r="B1071" t="s">
        <v>114</v>
      </c>
      <c r="C1071" t="s">
        <v>115</v>
      </c>
      <c r="D1071" s="2">
        <v>5085</v>
      </c>
    </row>
    <row r="1072" spans="1:4">
      <c r="A1072" s="4">
        <v>45997</v>
      </c>
      <c r="B1072" t="s">
        <v>114</v>
      </c>
      <c r="C1072" t="s">
        <v>115</v>
      </c>
      <c r="D1072" s="2">
        <v>5056</v>
      </c>
    </row>
    <row r="1073" spans="1:4">
      <c r="A1073" s="4">
        <v>45998</v>
      </c>
      <c r="B1073" t="s">
        <v>114</v>
      </c>
      <c r="C1073" t="s">
        <v>115</v>
      </c>
      <c r="D1073" s="2">
        <v>5046</v>
      </c>
    </row>
    <row r="1074" spans="1:4">
      <c r="A1074" s="4">
        <v>45999</v>
      </c>
      <c r="B1074" t="s">
        <v>114</v>
      </c>
      <c r="C1074" t="s">
        <v>115</v>
      </c>
      <c r="D1074" s="2">
        <v>5016</v>
      </c>
    </row>
    <row r="1075" spans="1:4">
      <c r="A1075" s="4">
        <v>46000</v>
      </c>
      <c r="B1075" t="s">
        <v>114</v>
      </c>
      <c r="C1075" t="s">
        <v>115</v>
      </c>
      <c r="D1075" s="2">
        <v>4986</v>
      </c>
    </row>
    <row r="1076" spans="1:4">
      <c r="A1076" s="4">
        <v>46001</v>
      </c>
      <c r="B1076" t="s">
        <v>114</v>
      </c>
      <c r="C1076" t="s">
        <v>115</v>
      </c>
      <c r="D1076" s="2">
        <v>4991</v>
      </c>
    </row>
    <row r="1077" spans="1:4">
      <c r="A1077" s="4">
        <v>46002</v>
      </c>
      <c r="B1077" t="s">
        <v>114</v>
      </c>
      <c r="C1077" t="s">
        <v>115</v>
      </c>
      <c r="D1077" s="2">
        <v>5000</v>
      </c>
    </row>
    <row r="1078" spans="1:4">
      <c r="A1078" s="4">
        <v>46003</v>
      </c>
      <c r="B1078" t="s">
        <v>114</v>
      </c>
      <c r="C1078" t="s">
        <v>115</v>
      </c>
      <c r="D1078" s="2">
        <v>5012</v>
      </c>
    </row>
    <row r="1079" spans="1:4">
      <c r="A1079" s="4">
        <v>46004</v>
      </c>
      <c r="B1079" t="s">
        <v>114</v>
      </c>
      <c r="C1079" t="s">
        <v>115</v>
      </c>
      <c r="D1079" s="2">
        <v>5029</v>
      </c>
    </row>
    <row r="1080" spans="1:4">
      <c r="A1080" s="4">
        <v>46005</v>
      </c>
      <c r="B1080" t="s">
        <v>114</v>
      </c>
      <c r="C1080" t="s">
        <v>115</v>
      </c>
      <c r="D1080" s="2">
        <v>5076</v>
      </c>
    </row>
    <row r="1081" spans="1:4">
      <c r="A1081" s="4">
        <v>46006</v>
      </c>
      <c r="B1081" t="s">
        <v>114</v>
      </c>
      <c r="C1081" t="s">
        <v>115</v>
      </c>
      <c r="D1081" s="2">
        <v>5047</v>
      </c>
    </row>
    <row r="1082" spans="1:4">
      <c r="A1082" s="4">
        <v>46007</v>
      </c>
      <c r="B1082" t="s">
        <v>114</v>
      </c>
      <c r="C1082" t="s">
        <v>115</v>
      </c>
      <c r="D1082" s="2">
        <v>5064</v>
      </c>
    </row>
    <row r="1083" spans="1:4">
      <c r="A1083" s="4">
        <v>46008</v>
      </c>
      <c r="B1083" t="s">
        <v>114</v>
      </c>
      <c r="C1083" t="s">
        <v>115</v>
      </c>
      <c r="D1083" s="2">
        <v>5059</v>
      </c>
    </row>
    <row r="1084" spans="1:4">
      <c r="A1084" s="4">
        <v>46009</v>
      </c>
      <c r="B1084" t="s">
        <v>114</v>
      </c>
      <c r="C1084" t="s">
        <v>115</v>
      </c>
      <c r="D1084" s="2">
        <v>5045</v>
      </c>
    </row>
    <row r="1085" spans="1:4">
      <c r="A1085" s="4">
        <v>46010</v>
      </c>
      <c r="B1085" t="s">
        <v>114</v>
      </c>
      <c r="C1085" t="s">
        <v>115</v>
      </c>
      <c r="D1085" s="2">
        <v>5080</v>
      </c>
    </row>
    <row r="1086" spans="1:4">
      <c r="A1086" s="4">
        <v>46011</v>
      </c>
      <c r="B1086" t="s">
        <v>114</v>
      </c>
      <c r="C1086" t="s">
        <v>115</v>
      </c>
      <c r="D1086" s="2">
        <v>5123</v>
      </c>
    </row>
    <row r="1087" spans="1:4">
      <c r="A1087" s="4">
        <v>46012</v>
      </c>
      <c r="B1087" t="s">
        <v>114</v>
      </c>
      <c r="C1087" t="s">
        <v>115</v>
      </c>
      <c r="D1087" s="2">
        <v>5143</v>
      </c>
    </row>
    <row r="1088" spans="1:4">
      <c r="A1088" s="4">
        <v>46013</v>
      </c>
      <c r="B1088" t="s">
        <v>114</v>
      </c>
      <c r="C1088" t="s">
        <v>115</v>
      </c>
      <c r="D1088" s="2">
        <v>5144</v>
      </c>
    </row>
    <row r="1089" spans="1:4">
      <c r="A1089" s="4">
        <v>46014</v>
      </c>
      <c r="B1089" t="s">
        <v>114</v>
      </c>
      <c r="C1089" t="s">
        <v>115</v>
      </c>
      <c r="D1089" s="2">
        <v>5141</v>
      </c>
    </row>
    <row r="1090" spans="1:4">
      <c r="A1090" s="4">
        <v>46015</v>
      </c>
      <c r="B1090" t="s">
        <v>114</v>
      </c>
      <c r="C1090" t="s">
        <v>115</v>
      </c>
      <c r="D1090" s="2">
        <v>5119</v>
      </c>
    </row>
    <row r="1091" spans="1:4">
      <c r="A1091" s="4">
        <v>46016</v>
      </c>
      <c r="B1091" t="s">
        <v>114</v>
      </c>
      <c r="C1091" t="s">
        <v>115</v>
      </c>
      <c r="D1091" s="2">
        <v>5081</v>
      </c>
    </row>
    <row r="1092" spans="1:4">
      <c r="A1092" s="4">
        <v>46017</v>
      </c>
      <c r="B1092" t="s">
        <v>114</v>
      </c>
      <c r="C1092" t="s">
        <v>115</v>
      </c>
      <c r="D1092" s="2">
        <v>5046</v>
      </c>
    </row>
    <row r="1093" spans="1:4">
      <c r="A1093" s="4">
        <v>46018</v>
      </c>
      <c r="B1093" t="s">
        <v>114</v>
      </c>
      <c r="C1093" t="s">
        <v>115</v>
      </c>
      <c r="D1093" s="2">
        <v>5012</v>
      </c>
    </row>
    <row r="1094" spans="1:4">
      <c r="A1094" s="4">
        <v>46019</v>
      </c>
      <c r="B1094" t="s">
        <v>114</v>
      </c>
      <c r="C1094" t="s">
        <v>115</v>
      </c>
      <c r="D1094" s="2">
        <v>5035</v>
      </c>
    </row>
    <row r="1095" spans="1:4">
      <c r="A1095" s="4">
        <v>46020</v>
      </c>
      <c r="B1095" t="s">
        <v>114</v>
      </c>
      <c r="C1095" t="s">
        <v>115</v>
      </c>
      <c r="D1095" s="2">
        <v>4995</v>
      </c>
    </row>
    <row r="1096" spans="1:4">
      <c r="A1096" s="4">
        <v>46021</v>
      </c>
      <c r="B1096" t="s">
        <v>114</v>
      </c>
      <c r="C1096" t="s">
        <v>115</v>
      </c>
      <c r="D1096" s="2">
        <v>4990</v>
      </c>
    </row>
    <row r="1097" spans="1:4">
      <c r="A1097" s="4">
        <v>46022</v>
      </c>
      <c r="B1097" t="s">
        <v>114</v>
      </c>
      <c r="C1097" t="s">
        <v>115</v>
      </c>
      <c r="D1097" s="2">
        <v>5009</v>
      </c>
    </row>
    <row r="1098" spans="1:4">
      <c r="A1098" s="4">
        <v>46023</v>
      </c>
      <c r="B1098" t="s">
        <v>114</v>
      </c>
      <c r="C1098" t="s">
        <v>115</v>
      </c>
      <c r="D1098" s="2">
        <v>5019</v>
      </c>
    </row>
    <row r="1099" spans="1:4">
      <c r="A1099" s="4">
        <v>46024</v>
      </c>
      <c r="B1099" t="s">
        <v>114</v>
      </c>
      <c r="C1099" t="s">
        <v>115</v>
      </c>
      <c r="D1099" s="2">
        <v>4979</v>
      </c>
    </row>
    <row r="1100" spans="1:4">
      <c r="A1100" s="4">
        <v>46025</v>
      </c>
      <c r="B1100" t="s">
        <v>114</v>
      </c>
      <c r="C1100" t="s">
        <v>115</v>
      </c>
      <c r="D1100" s="2">
        <v>5008</v>
      </c>
    </row>
    <row r="1101" spans="1:4">
      <c r="A1101" s="4">
        <v>46026</v>
      </c>
      <c r="B1101" t="s">
        <v>114</v>
      </c>
      <c r="C1101" t="s">
        <v>115</v>
      </c>
      <c r="D1101" s="2">
        <v>4978</v>
      </c>
    </row>
    <row r="1102" spans="1:4">
      <c r="A1102" s="4">
        <v>46027</v>
      </c>
      <c r="B1102" t="s">
        <v>114</v>
      </c>
      <c r="C1102" t="s">
        <v>115</v>
      </c>
      <c r="D1102" s="2">
        <v>5001</v>
      </c>
    </row>
    <row r="1103" spans="1:4">
      <c r="A1103" s="4">
        <v>46028</v>
      </c>
      <c r="B1103" t="s">
        <v>114</v>
      </c>
      <c r="C1103" t="s">
        <v>115</v>
      </c>
      <c r="D1103" s="2">
        <v>5023</v>
      </c>
    </row>
    <row r="1104" spans="1:4">
      <c r="A1104" s="4">
        <v>46029</v>
      </c>
      <c r="B1104" t="s">
        <v>114</v>
      </c>
      <c r="C1104" t="s">
        <v>115</v>
      </c>
      <c r="D1104" s="2">
        <v>5043</v>
      </c>
    </row>
    <row r="1105" spans="1:4">
      <c r="A1105" s="4">
        <v>46030</v>
      </c>
      <c r="B1105" t="s">
        <v>114</v>
      </c>
      <c r="C1105" t="s">
        <v>115</v>
      </c>
      <c r="D1105" s="2">
        <v>5007</v>
      </c>
    </row>
    <row r="1106" spans="1:4">
      <c r="A1106" s="4">
        <v>46031</v>
      </c>
      <c r="B1106" t="s">
        <v>114</v>
      </c>
      <c r="C1106" t="s">
        <v>115</v>
      </c>
      <c r="D1106" s="2">
        <v>4975</v>
      </c>
    </row>
    <row r="1107" spans="1:4">
      <c r="A1107" s="4">
        <v>46032</v>
      </c>
      <c r="B1107" t="s">
        <v>114</v>
      </c>
      <c r="C1107" t="s">
        <v>115</v>
      </c>
      <c r="D1107" s="2">
        <v>4990</v>
      </c>
    </row>
    <row r="1108" spans="1:4">
      <c r="A1108" s="4">
        <v>46033</v>
      </c>
      <c r="B1108" t="s">
        <v>114</v>
      </c>
      <c r="C1108" t="s">
        <v>115</v>
      </c>
      <c r="D1108" s="2">
        <v>5007</v>
      </c>
    </row>
    <row r="1109" spans="1:4">
      <c r="A1109" s="4">
        <v>46034</v>
      </c>
      <c r="B1109" t="s">
        <v>114</v>
      </c>
      <c r="C1109" t="s">
        <v>115</v>
      </c>
      <c r="D1109" s="2">
        <v>4988</v>
      </c>
    </row>
    <row r="1110" spans="1:4">
      <c r="A1110" s="4">
        <v>46035</v>
      </c>
      <c r="B1110" t="s">
        <v>114</v>
      </c>
      <c r="C1110" t="s">
        <v>115</v>
      </c>
      <c r="D1110" s="2">
        <v>5022</v>
      </c>
    </row>
    <row r="1111" spans="1:4">
      <c r="A1111" s="4">
        <v>46036</v>
      </c>
      <c r="B1111" t="s">
        <v>114</v>
      </c>
      <c r="C1111" t="s">
        <v>115</v>
      </c>
      <c r="D1111" s="2">
        <v>5049</v>
      </c>
    </row>
    <row r="1112" spans="1:4">
      <c r="A1112" s="4">
        <v>46037</v>
      </c>
      <c r="B1112" t="s">
        <v>114</v>
      </c>
      <c r="C1112" t="s">
        <v>115</v>
      </c>
      <c r="D1112" s="2">
        <v>5043</v>
      </c>
    </row>
    <row r="1113" spans="1:4">
      <c r="A1113" s="4">
        <v>46038</v>
      </c>
      <c r="B1113" t="s">
        <v>114</v>
      </c>
      <c r="C1113" t="s">
        <v>115</v>
      </c>
      <c r="D1113" s="2">
        <v>5083</v>
      </c>
    </row>
    <row r="1114" spans="1:4">
      <c r="A1114" s="4">
        <v>46039</v>
      </c>
      <c r="B1114" t="s">
        <v>114</v>
      </c>
      <c r="C1114" t="s">
        <v>115</v>
      </c>
      <c r="D1114" s="2">
        <v>5121</v>
      </c>
    </row>
    <row r="1115" spans="1:4">
      <c r="A1115" s="4">
        <v>46040</v>
      </c>
      <c r="B1115" t="s">
        <v>114</v>
      </c>
      <c r="C1115" t="s">
        <v>115</v>
      </c>
      <c r="D1115" s="2">
        <v>5145</v>
      </c>
    </row>
    <row r="1116" spans="1:4">
      <c r="A1116" s="4">
        <v>46041</v>
      </c>
      <c r="B1116" t="s">
        <v>114</v>
      </c>
      <c r="C1116" t="s">
        <v>115</v>
      </c>
      <c r="D1116" s="2">
        <v>5182</v>
      </c>
    </row>
    <row r="1117" spans="1:4">
      <c r="A1117" s="4">
        <v>46042</v>
      </c>
      <c r="B1117" t="s">
        <v>114</v>
      </c>
      <c r="C1117" t="s">
        <v>115</v>
      </c>
      <c r="D1117" s="2">
        <v>5194</v>
      </c>
    </row>
    <row r="1118" spans="1:4">
      <c r="A1118" s="4">
        <v>46043</v>
      </c>
      <c r="B1118" t="s">
        <v>114</v>
      </c>
      <c r="C1118" t="s">
        <v>115</v>
      </c>
      <c r="D1118" s="2">
        <v>5200</v>
      </c>
    </row>
    <row r="1119" spans="1:4">
      <c r="A1119" s="4">
        <v>46044</v>
      </c>
      <c r="B1119" t="s">
        <v>114</v>
      </c>
      <c r="C1119" t="s">
        <v>115</v>
      </c>
      <c r="D1119" s="2">
        <v>5153</v>
      </c>
    </row>
    <row r="1120" spans="1:4">
      <c r="A1120" s="4">
        <v>46045</v>
      </c>
      <c r="B1120" t="s">
        <v>114</v>
      </c>
      <c r="C1120" t="s">
        <v>115</v>
      </c>
      <c r="D1120" s="2">
        <v>5164</v>
      </c>
    </row>
    <row r="1121" spans="1:4">
      <c r="A1121" s="4">
        <v>46046</v>
      </c>
      <c r="B1121" t="s">
        <v>114</v>
      </c>
      <c r="C1121" t="s">
        <v>115</v>
      </c>
      <c r="D1121" s="2">
        <v>5127</v>
      </c>
    </row>
    <row r="1122" spans="1:4">
      <c r="A1122" s="4">
        <v>46047</v>
      </c>
      <c r="B1122" t="s">
        <v>114</v>
      </c>
      <c r="C1122" t="s">
        <v>115</v>
      </c>
      <c r="D1122" s="2">
        <v>5077</v>
      </c>
    </row>
    <row r="1123" spans="1:4">
      <c r="A1123" s="4">
        <v>46048</v>
      </c>
      <c r="B1123" t="s">
        <v>114</v>
      </c>
      <c r="C1123" t="s">
        <v>115</v>
      </c>
      <c r="D1123" s="2">
        <v>5095</v>
      </c>
    </row>
    <row r="1124" spans="1:4">
      <c r="A1124" s="4">
        <v>46049</v>
      </c>
      <c r="B1124" t="s">
        <v>114</v>
      </c>
      <c r="C1124" t="s">
        <v>115</v>
      </c>
      <c r="D1124" s="2">
        <v>5086</v>
      </c>
    </row>
    <row r="1125" spans="1:4">
      <c r="A1125" s="4">
        <v>46050</v>
      </c>
      <c r="B1125" t="s">
        <v>114</v>
      </c>
      <c r="C1125" t="s">
        <v>115</v>
      </c>
      <c r="D1125" s="2">
        <v>5053</v>
      </c>
    </row>
    <row r="1126" spans="1:4">
      <c r="A1126" s="4">
        <v>46051</v>
      </c>
      <c r="B1126" t="s">
        <v>114</v>
      </c>
      <c r="C1126" t="s">
        <v>115</v>
      </c>
      <c r="D1126" s="2">
        <v>5088</v>
      </c>
    </row>
    <row r="1127" spans="1:4">
      <c r="A1127" s="4">
        <v>46052</v>
      </c>
      <c r="B1127" t="s">
        <v>114</v>
      </c>
      <c r="C1127" t="s">
        <v>115</v>
      </c>
      <c r="D1127" s="2">
        <v>5126</v>
      </c>
    </row>
    <row r="1128" spans="1:4">
      <c r="A1128" s="4">
        <v>46053</v>
      </c>
      <c r="B1128" t="s">
        <v>114</v>
      </c>
      <c r="C1128" t="s">
        <v>115</v>
      </c>
      <c r="D1128" s="2">
        <v>5103</v>
      </c>
    </row>
    <row r="1129" spans="1:4">
      <c r="A1129" s="4">
        <v>46054</v>
      </c>
      <c r="B1129" t="s">
        <v>114</v>
      </c>
      <c r="C1129" t="s">
        <v>115</v>
      </c>
      <c r="D1129" s="2">
        <v>5087</v>
      </c>
    </row>
    <row r="1130" spans="1:4">
      <c r="A1130" s="4">
        <v>46055</v>
      </c>
      <c r="B1130" t="s">
        <v>114</v>
      </c>
      <c r="C1130" t="s">
        <v>115</v>
      </c>
      <c r="D1130" s="2">
        <v>5135</v>
      </c>
    </row>
    <row r="1131" spans="1:4">
      <c r="A1131" s="4">
        <v>46056</v>
      </c>
      <c r="B1131" t="s">
        <v>114</v>
      </c>
      <c r="C1131" t="s">
        <v>115</v>
      </c>
      <c r="D1131" s="2">
        <v>5175</v>
      </c>
    </row>
    <row r="1132" spans="1:4">
      <c r="A1132" s="4">
        <v>46057</v>
      </c>
      <c r="B1132" t="s">
        <v>114</v>
      </c>
      <c r="C1132" t="s">
        <v>115</v>
      </c>
      <c r="D1132" s="2">
        <v>5147</v>
      </c>
    </row>
    <row r="1133" spans="1:4">
      <c r="A1133" s="4">
        <v>46058</v>
      </c>
      <c r="B1133" t="s">
        <v>114</v>
      </c>
      <c r="C1133" t="s">
        <v>115</v>
      </c>
      <c r="D1133" s="2">
        <v>5117</v>
      </c>
    </row>
    <row r="1134" spans="1:4">
      <c r="A1134" s="4">
        <v>46059</v>
      </c>
      <c r="B1134" t="s">
        <v>114</v>
      </c>
      <c r="C1134" t="s">
        <v>115</v>
      </c>
      <c r="D1134" s="2">
        <v>5152</v>
      </c>
    </row>
    <row r="1135" spans="1:4">
      <c r="A1135" s="4">
        <v>46060</v>
      </c>
      <c r="B1135" t="s">
        <v>114</v>
      </c>
      <c r="C1135" t="s">
        <v>115</v>
      </c>
      <c r="D1135" s="2">
        <v>5185</v>
      </c>
    </row>
    <row r="1136" spans="1:4">
      <c r="A1136" s="4">
        <v>46061</v>
      </c>
      <c r="B1136" t="s">
        <v>114</v>
      </c>
      <c r="C1136" t="s">
        <v>115</v>
      </c>
      <c r="D1136" s="2">
        <v>5213</v>
      </c>
    </row>
    <row r="1137" spans="1:4">
      <c r="A1137" s="4">
        <v>46062</v>
      </c>
      <c r="B1137" t="s">
        <v>114</v>
      </c>
      <c r="C1137" t="s">
        <v>115</v>
      </c>
      <c r="D1137" s="2">
        <v>5193</v>
      </c>
    </row>
    <row r="1138" spans="1:4">
      <c r="A1138" s="4">
        <v>46063</v>
      </c>
      <c r="B1138" t="s">
        <v>114</v>
      </c>
      <c r="C1138" t="s">
        <v>115</v>
      </c>
      <c r="D1138" s="2">
        <v>5202</v>
      </c>
    </row>
    <row r="1139" spans="1:4">
      <c r="A1139" s="4">
        <v>46064</v>
      </c>
      <c r="B1139" t="s">
        <v>114</v>
      </c>
      <c r="C1139" t="s">
        <v>115</v>
      </c>
      <c r="D1139" s="2">
        <v>5163</v>
      </c>
    </row>
    <row r="1140" spans="1:4">
      <c r="A1140" s="4">
        <v>46065</v>
      </c>
      <c r="B1140" t="s">
        <v>114</v>
      </c>
      <c r="C1140" t="s">
        <v>115</v>
      </c>
      <c r="D1140" s="2">
        <v>5202</v>
      </c>
    </row>
    <row r="1141" spans="1:4">
      <c r="A1141" s="4">
        <v>46066</v>
      </c>
      <c r="B1141" t="s">
        <v>114</v>
      </c>
      <c r="C1141" t="s">
        <v>115</v>
      </c>
      <c r="D1141" s="2">
        <v>5198</v>
      </c>
    </row>
    <row r="1142" spans="1:4">
      <c r="A1142" s="4">
        <v>46067</v>
      </c>
      <c r="B1142" t="s">
        <v>114</v>
      </c>
      <c r="C1142" t="s">
        <v>115</v>
      </c>
      <c r="D1142" s="2">
        <v>5166</v>
      </c>
    </row>
    <row r="1143" spans="1:4">
      <c r="A1143" s="4">
        <v>46068</v>
      </c>
      <c r="B1143" t="s">
        <v>114</v>
      </c>
      <c r="C1143" t="s">
        <v>115</v>
      </c>
      <c r="D1143" s="2">
        <v>5138</v>
      </c>
    </row>
    <row r="1144" spans="1:4">
      <c r="A1144" s="4">
        <v>46069</v>
      </c>
      <c r="B1144" t="s">
        <v>114</v>
      </c>
      <c r="C1144" t="s">
        <v>115</v>
      </c>
      <c r="D1144" s="2">
        <v>5124</v>
      </c>
    </row>
    <row r="1145" spans="1:4">
      <c r="A1145" s="4">
        <v>46070</v>
      </c>
      <c r="B1145" t="s">
        <v>114</v>
      </c>
      <c r="C1145" t="s">
        <v>115</v>
      </c>
      <c r="D1145" s="2">
        <v>5151</v>
      </c>
    </row>
    <row r="1146" spans="1:4">
      <c r="A1146" s="4">
        <v>46071</v>
      </c>
      <c r="B1146" t="s">
        <v>114</v>
      </c>
      <c r="C1146" t="s">
        <v>115</v>
      </c>
      <c r="D1146" s="2">
        <v>5146</v>
      </c>
    </row>
    <row r="1147" spans="1:4">
      <c r="A1147" s="4">
        <v>46072</v>
      </c>
      <c r="B1147" t="s">
        <v>114</v>
      </c>
      <c r="C1147" t="s">
        <v>115</v>
      </c>
      <c r="D1147" s="2">
        <v>5184</v>
      </c>
    </row>
    <row r="1148" spans="1:4">
      <c r="A1148" s="4">
        <v>46073</v>
      </c>
      <c r="B1148" t="s">
        <v>114</v>
      </c>
      <c r="C1148" t="s">
        <v>115</v>
      </c>
      <c r="D1148" s="2">
        <v>5135</v>
      </c>
    </row>
    <row r="1149" spans="1:4">
      <c r="A1149" s="4">
        <v>46074</v>
      </c>
      <c r="B1149" t="s">
        <v>114</v>
      </c>
      <c r="C1149" t="s">
        <v>115</v>
      </c>
      <c r="D1149" s="2">
        <v>5111</v>
      </c>
    </row>
    <row r="1150" spans="1:4">
      <c r="A1150" s="4">
        <v>46075</v>
      </c>
      <c r="B1150" t="s">
        <v>114</v>
      </c>
      <c r="C1150" t="s">
        <v>115</v>
      </c>
      <c r="D1150" s="2">
        <v>5115</v>
      </c>
    </row>
    <row r="1151" spans="1:4">
      <c r="A1151" s="4">
        <v>46076</v>
      </c>
      <c r="B1151" t="s">
        <v>114</v>
      </c>
      <c r="C1151" t="s">
        <v>115</v>
      </c>
      <c r="D1151" s="2">
        <v>5091</v>
      </c>
    </row>
    <row r="1152" spans="1:4">
      <c r="A1152" s="4">
        <v>46077</v>
      </c>
      <c r="B1152" t="s">
        <v>114</v>
      </c>
      <c r="C1152" t="s">
        <v>115</v>
      </c>
      <c r="D1152" s="2">
        <v>5136</v>
      </c>
    </row>
    <row r="1153" spans="1:4">
      <c r="A1153" s="4">
        <v>46078</v>
      </c>
      <c r="B1153" t="s">
        <v>114</v>
      </c>
      <c r="C1153" t="s">
        <v>115</v>
      </c>
      <c r="D1153" s="2">
        <v>5102</v>
      </c>
    </row>
    <row r="1154" spans="1:4">
      <c r="A1154" s="4">
        <v>46079</v>
      </c>
      <c r="B1154" t="s">
        <v>114</v>
      </c>
      <c r="C1154" t="s">
        <v>115</v>
      </c>
      <c r="D1154" s="2">
        <v>5086</v>
      </c>
    </row>
    <row r="1155" spans="1:4">
      <c r="A1155" s="4">
        <v>46080</v>
      </c>
      <c r="B1155" t="s">
        <v>114</v>
      </c>
      <c r="C1155" t="s">
        <v>115</v>
      </c>
      <c r="D1155" s="2">
        <v>5041</v>
      </c>
    </row>
    <row r="1156" spans="1:4">
      <c r="A1156" s="4">
        <v>46081</v>
      </c>
      <c r="B1156" t="s">
        <v>114</v>
      </c>
      <c r="C1156" t="s">
        <v>115</v>
      </c>
      <c r="D1156" s="2">
        <v>5016</v>
      </c>
    </row>
    <row r="1157" spans="1:4">
      <c r="A1157" s="4">
        <v>46082</v>
      </c>
      <c r="B1157" t="s">
        <v>114</v>
      </c>
      <c r="C1157" t="s">
        <v>115</v>
      </c>
      <c r="D1157" s="2">
        <v>4986</v>
      </c>
    </row>
    <row r="1158" spans="1:4">
      <c r="A1158" s="4">
        <v>46083</v>
      </c>
      <c r="B1158" t="s">
        <v>114</v>
      </c>
      <c r="C1158" t="s">
        <v>115</v>
      </c>
      <c r="D1158" s="2">
        <v>4959</v>
      </c>
    </row>
    <row r="1159" spans="1:4">
      <c r="A1159" s="4">
        <v>46084</v>
      </c>
      <c r="B1159" t="s">
        <v>114</v>
      </c>
      <c r="C1159" t="s">
        <v>115</v>
      </c>
      <c r="D1159" s="2">
        <v>4966</v>
      </c>
    </row>
    <row r="1160" spans="1:4">
      <c r="A1160" s="4">
        <v>46085</v>
      </c>
      <c r="B1160" t="s">
        <v>114</v>
      </c>
      <c r="C1160" t="s">
        <v>115</v>
      </c>
      <c r="D1160" s="2">
        <v>4927</v>
      </c>
    </row>
    <row r="1161" spans="1:4">
      <c r="A1161" s="4">
        <v>46086</v>
      </c>
      <c r="B1161" t="s">
        <v>114</v>
      </c>
      <c r="C1161" t="s">
        <v>115</v>
      </c>
      <c r="D1161" s="2">
        <v>4959</v>
      </c>
    </row>
    <row r="1162" spans="1:4">
      <c r="A1162" s="4">
        <v>46087</v>
      </c>
      <c r="B1162" t="s">
        <v>114</v>
      </c>
      <c r="C1162" t="s">
        <v>115</v>
      </c>
      <c r="D1162" s="2">
        <v>4972</v>
      </c>
    </row>
    <row r="1163" spans="1:4">
      <c r="A1163" s="4">
        <v>46088</v>
      </c>
      <c r="B1163" t="s">
        <v>114</v>
      </c>
      <c r="C1163" t="s">
        <v>115</v>
      </c>
      <c r="D1163" s="2">
        <v>4959</v>
      </c>
    </row>
    <row r="1164" spans="1:4">
      <c r="A1164" s="4">
        <v>46089</v>
      </c>
      <c r="B1164" t="s">
        <v>114</v>
      </c>
      <c r="C1164" t="s">
        <v>115</v>
      </c>
      <c r="D1164" s="2">
        <v>4967</v>
      </c>
    </row>
    <row r="1165" spans="1:4">
      <c r="A1165" s="4">
        <v>46090</v>
      </c>
      <c r="B1165" t="s">
        <v>114</v>
      </c>
      <c r="C1165" t="s">
        <v>115</v>
      </c>
      <c r="D1165" s="2">
        <v>4930</v>
      </c>
    </row>
    <row r="1166" spans="1:4">
      <c r="A1166" s="4">
        <v>46091</v>
      </c>
      <c r="B1166" t="s">
        <v>114</v>
      </c>
      <c r="C1166" t="s">
        <v>115</v>
      </c>
      <c r="D1166" s="2">
        <v>4962</v>
      </c>
    </row>
    <row r="1167" spans="1:4">
      <c r="A1167" s="4">
        <v>46092</v>
      </c>
      <c r="B1167" t="s">
        <v>114</v>
      </c>
      <c r="C1167" t="s">
        <v>115</v>
      </c>
      <c r="D1167" s="2">
        <v>4995</v>
      </c>
    </row>
    <row r="1168" spans="1:4">
      <c r="A1168" s="4">
        <v>46093</v>
      </c>
      <c r="B1168" t="s">
        <v>114</v>
      </c>
      <c r="C1168" t="s">
        <v>115</v>
      </c>
      <c r="D1168" s="2">
        <v>4986</v>
      </c>
    </row>
    <row r="1169" spans="1:4">
      <c r="A1169" s="4">
        <v>46094</v>
      </c>
      <c r="B1169" t="s">
        <v>114</v>
      </c>
      <c r="C1169" t="s">
        <v>115</v>
      </c>
      <c r="D1169" s="2">
        <v>4973</v>
      </c>
    </row>
    <row r="1170" spans="1:4">
      <c r="A1170" s="4">
        <v>46095</v>
      </c>
      <c r="B1170" t="s">
        <v>114</v>
      </c>
      <c r="C1170" t="s">
        <v>115</v>
      </c>
      <c r="D1170" s="2">
        <v>4954</v>
      </c>
    </row>
    <row r="1171" spans="1:4">
      <c r="A1171" s="4">
        <v>46096</v>
      </c>
      <c r="B1171" t="s">
        <v>114</v>
      </c>
      <c r="C1171" t="s">
        <v>115</v>
      </c>
      <c r="D1171" s="2">
        <v>4908</v>
      </c>
    </row>
    <row r="1172" spans="1:4">
      <c r="A1172" s="4">
        <v>46097</v>
      </c>
      <c r="B1172" t="s">
        <v>114</v>
      </c>
      <c r="C1172" t="s">
        <v>115</v>
      </c>
      <c r="D1172" s="2">
        <v>4868</v>
      </c>
    </row>
    <row r="1173" spans="1:4">
      <c r="A1173" s="4">
        <v>46098</v>
      </c>
      <c r="B1173" t="s">
        <v>114</v>
      </c>
      <c r="C1173" t="s">
        <v>115</v>
      </c>
      <c r="D1173" s="2">
        <v>4916</v>
      </c>
    </row>
    <row r="1174" spans="1:4">
      <c r="A1174" s="4">
        <v>46099</v>
      </c>
      <c r="B1174" t="s">
        <v>114</v>
      </c>
      <c r="C1174" t="s">
        <v>115</v>
      </c>
      <c r="D1174" s="2">
        <v>4900</v>
      </c>
    </row>
    <row r="1175" spans="1:4">
      <c r="A1175" s="4">
        <v>46100</v>
      </c>
      <c r="B1175" t="s">
        <v>114</v>
      </c>
      <c r="C1175" t="s">
        <v>115</v>
      </c>
      <c r="D1175" s="2">
        <v>4919</v>
      </c>
    </row>
    <row r="1176" spans="1:4">
      <c r="A1176" s="4">
        <v>46101</v>
      </c>
      <c r="B1176" t="s">
        <v>114</v>
      </c>
      <c r="C1176" t="s">
        <v>115</v>
      </c>
      <c r="D1176" s="2">
        <v>4904</v>
      </c>
    </row>
    <row r="1177" spans="1:4">
      <c r="A1177" s="4">
        <v>46102</v>
      </c>
      <c r="B1177" t="s">
        <v>114</v>
      </c>
      <c r="C1177" t="s">
        <v>115</v>
      </c>
      <c r="D1177" s="2">
        <v>4907</v>
      </c>
    </row>
    <row r="1178" spans="1:4">
      <c r="A1178" s="4">
        <v>46103</v>
      </c>
      <c r="B1178" t="s">
        <v>114</v>
      </c>
      <c r="C1178" t="s">
        <v>115</v>
      </c>
      <c r="D1178" s="2">
        <v>4884</v>
      </c>
    </row>
    <row r="1179" spans="1:4">
      <c r="A1179" s="4">
        <v>46104</v>
      </c>
      <c r="B1179" t="s">
        <v>114</v>
      </c>
      <c r="C1179" t="s">
        <v>115</v>
      </c>
      <c r="D1179" s="2">
        <v>4892</v>
      </c>
    </row>
    <row r="1180" spans="1:4">
      <c r="A1180" s="4">
        <v>46105</v>
      </c>
      <c r="B1180" t="s">
        <v>114</v>
      </c>
      <c r="C1180" t="s">
        <v>115</v>
      </c>
      <c r="D1180" s="2">
        <v>4938</v>
      </c>
    </row>
    <row r="1181" spans="1:4">
      <c r="A1181" s="4">
        <v>46106</v>
      </c>
      <c r="B1181" t="s">
        <v>114</v>
      </c>
      <c r="C1181" t="s">
        <v>115</v>
      </c>
      <c r="D1181" s="2">
        <v>4980</v>
      </c>
    </row>
    <row r="1182" spans="1:4">
      <c r="A1182" s="4">
        <v>46107</v>
      </c>
      <c r="B1182" t="s">
        <v>114</v>
      </c>
      <c r="C1182" t="s">
        <v>115</v>
      </c>
      <c r="D1182" s="2">
        <v>4999</v>
      </c>
    </row>
    <row r="1183" spans="1:4">
      <c r="A1183" s="4">
        <v>46108</v>
      </c>
      <c r="B1183" t="s">
        <v>114</v>
      </c>
      <c r="C1183" t="s">
        <v>115</v>
      </c>
      <c r="D1183" s="2">
        <v>5006</v>
      </c>
    </row>
    <row r="1184" spans="1:4">
      <c r="A1184" s="4">
        <v>46109</v>
      </c>
      <c r="B1184" t="s">
        <v>114</v>
      </c>
      <c r="C1184" t="s">
        <v>115</v>
      </c>
      <c r="D1184" s="2">
        <v>5011</v>
      </c>
    </row>
    <row r="1185" spans="1:4">
      <c r="A1185" s="4">
        <v>46110</v>
      </c>
      <c r="B1185" t="s">
        <v>114</v>
      </c>
      <c r="C1185" t="s">
        <v>115</v>
      </c>
      <c r="D1185" s="2">
        <v>4964</v>
      </c>
    </row>
    <row r="1186" spans="1:4">
      <c r="A1186" s="4">
        <v>46111</v>
      </c>
      <c r="B1186" t="s">
        <v>114</v>
      </c>
      <c r="C1186" t="s">
        <v>115</v>
      </c>
      <c r="D1186" s="2">
        <v>5000</v>
      </c>
    </row>
    <row r="1187" spans="1:4">
      <c r="A1187" s="4">
        <v>46112</v>
      </c>
      <c r="B1187" t="s">
        <v>114</v>
      </c>
      <c r="C1187" t="s">
        <v>115</v>
      </c>
      <c r="D1187" s="2">
        <v>5026</v>
      </c>
    </row>
    <row r="1188" spans="1:4">
      <c r="A1188" s="4">
        <v>46113</v>
      </c>
      <c r="B1188" t="s">
        <v>114</v>
      </c>
      <c r="C1188" t="s">
        <v>115</v>
      </c>
      <c r="D1188" s="2">
        <v>5071</v>
      </c>
    </row>
    <row r="1189" spans="1:4">
      <c r="A1189" s="4">
        <v>46114</v>
      </c>
      <c r="B1189" t="s">
        <v>114</v>
      </c>
      <c r="C1189" t="s">
        <v>115</v>
      </c>
      <c r="D1189" s="2">
        <v>5024</v>
      </c>
    </row>
    <row r="1190" spans="1:4">
      <c r="A1190" s="4">
        <v>46115</v>
      </c>
      <c r="B1190" t="s">
        <v>114</v>
      </c>
      <c r="C1190" t="s">
        <v>115</v>
      </c>
      <c r="D1190" s="2">
        <v>5001</v>
      </c>
    </row>
    <row r="1191" spans="1:4">
      <c r="A1191" s="4">
        <v>46116</v>
      </c>
      <c r="B1191" t="s">
        <v>114</v>
      </c>
      <c r="C1191" t="s">
        <v>115</v>
      </c>
      <c r="D1191" s="2">
        <v>5051</v>
      </c>
    </row>
    <row r="1192" spans="1:4">
      <c r="A1192" s="4">
        <v>46117</v>
      </c>
      <c r="B1192" t="s">
        <v>114</v>
      </c>
      <c r="C1192" t="s">
        <v>115</v>
      </c>
      <c r="D1192" s="2">
        <v>5036</v>
      </c>
    </row>
    <row r="1193" spans="1:4">
      <c r="A1193" s="4">
        <v>46118</v>
      </c>
      <c r="B1193" t="s">
        <v>114</v>
      </c>
      <c r="C1193" t="s">
        <v>115</v>
      </c>
      <c r="D1193" s="2">
        <v>5025</v>
      </c>
    </row>
    <row r="1194" spans="1:4">
      <c r="A1194" s="4">
        <v>46119</v>
      </c>
      <c r="B1194" t="s">
        <v>114</v>
      </c>
      <c r="C1194" t="s">
        <v>115</v>
      </c>
      <c r="D1194" s="2">
        <v>5001</v>
      </c>
    </row>
    <row r="1195" spans="1:4">
      <c r="A1195" s="4">
        <v>46120</v>
      </c>
      <c r="B1195" t="s">
        <v>114</v>
      </c>
      <c r="C1195" t="s">
        <v>115</v>
      </c>
      <c r="D1195" s="2">
        <v>4996</v>
      </c>
    </row>
    <row r="1196" spans="1:4">
      <c r="A1196" s="4">
        <v>46121</v>
      </c>
      <c r="B1196" t="s">
        <v>114</v>
      </c>
      <c r="C1196" t="s">
        <v>115</v>
      </c>
      <c r="D1196" s="2">
        <v>4951</v>
      </c>
    </row>
    <row r="1197" spans="1:4">
      <c r="A1197" s="4">
        <v>46122</v>
      </c>
      <c r="B1197" t="s">
        <v>114</v>
      </c>
      <c r="C1197" t="s">
        <v>115</v>
      </c>
      <c r="D1197" s="2">
        <v>4910</v>
      </c>
    </row>
    <row r="1198" spans="1:4">
      <c r="A1198" s="4">
        <v>46123</v>
      </c>
      <c r="B1198" t="s">
        <v>114</v>
      </c>
      <c r="C1198" t="s">
        <v>115</v>
      </c>
      <c r="D1198" s="2">
        <v>4884</v>
      </c>
    </row>
    <row r="1199" spans="1:4">
      <c r="A1199" s="4">
        <v>46124</v>
      </c>
      <c r="B1199" t="s">
        <v>114</v>
      </c>
      <c r="C1199" t="s">
        <v>115</v>
      </c>
      <c r="D1199" s="2">
        <v>4921</v>
      </c>
    </row>
    <row r="1200" spans="1:4">
      <c r="A1200" s="4">
        <v>46125</v>
      </c>
      <c r="B1200" t="s">
        <v>114</v>
      </c>
      <c r="C1200" t="s">
        <v>115</v>
      </c>
      <c r="D1200" s="2">
        <v>4892</v>
      </c>
    </row>
    <row r="1201" spans="1:4">
      <c r="A1201" s="4">
        <v>46126</v>
      </c>
      <c r="B1201" t="s">
        <v>114</v>
      </c>
      <c r="C1201" t="s">
        <v>115</v>
      </c>
      <c r="D1201" s="2">
        <v>4845</v>
      </c>
    </row>
    <row r="1202" spans="1:4">
      <c r="A1202" s="4">
        <v>46127</v>
      </c>
      <c r="B1202" t="s">
        <v>114</v>
      </c>
      <c r="C1202" t="s">
        <v>115</v>
      </c>
      <c r="D1202" s="2">
        <v>4804</v>
      </c>
    </row>
    <row r="1203" spans="1:4">
      <c r="A1203" s="4">
        <v>46128</v>
      </c>
      <c r="B1203" t="s">
        <v>114</v>
      </c>
      <c r="C1203" t="s">
        <v>115</v>
      </c>
      <c r="D1203" s="2">
        <v>4785</v>
      </c>
    </row>
    <row r="1204" spans="1:4">
      <c r="A1204" s="4">
        <v>46129</v>
      </c>
      <c r="B1204" t="s">
        <v>114</v>
      </c>
      <c r="C1204" t="s">
        <v>115</v>
      </c>
      <c r="D1204" s="2">
        <v>4783</v>
      </c>
    </row>
    <row r="1205" spans="1:4">
      <c r="A1205" s="4">
        <v>46130</v>
      </c>
      <c r="B1205" t="s">
        <v>114</v>
      </c>
      <c r="C1205" t="s">
        <v>115</v>
      </c>
      <c r="D1205" s="2">
        <v>4760</v>
      </c>
    </row>
    <row r="1206" spans="1:4">
      <c r="A1206" s="4">
        <v>46131</v>
      </c>
      <c r="B1206" t="s">
        <v>114</v>
      </c>
      <c r="C1206" t="s">
        <v>115</v>
      </c>
      <c r="D1206" s="2">
        <v>4774</v>
      </c>
    </row>
    <row r="1207" spans="1:4">
      <c r="A1207" s="4">
        <v>46132</v>
      </c>
      <c r="B1207" t="s">
        <v>114</v>
      </c>
      <c r="C1207" t="s">
        <v>115</v>
      </c>
      <c r="D1207" s="2">
        <v>4801</v>
      </c>
    </row>
    <row r="1208" spans="1:4">
      <c r="A1208" s="4">
        <v>46133</v>
      </c>
      <c r="B1208" t="s">
        <v>114</v>
      </c>
      <c r="C1208" t="s">
        <v>115</v>
      </c>
      <c r="D1208" s="2">
        <v>4794</v>
      </c>
    </row>
    <row r="1209" spans="1:4">
      <c r="A1209" s="4">
        <v>46134</v>
      </c>
      <c r="B1209" t="s">
        <v>114</v>
      </c>
      <c r="C1209" t="s">
        <v>115</v>
      </c>
      <c r="D1209" s="2">
        <v>4821</v>
      </c>
    </row>
    <row r="1210" spans="1:4">
      <c r="A1210" s="4">
        <v>46135</v>
      </c>
      <c r="B1210" t="s">
        <v>114</v>
      </c>
      <c r="C1210" t="s">
        <v>115</v>
      </c>
      <c r="D1210" s="2">
        <v>4829</v>
      </c>
    </row>
    <row r="1211" spans="1:4">
      <c r="A1211" s="4">
        <v>46136</v>
      </c>
      <c r="B1211" t="s">
        <v>114</v>
      </c>
      <c r="C1211" t="s">
        <v>115</v>
      </c>
      <c r="D1211" s="2">
        <v>4819</v>
      </c>
    </row>
    <row r="1212" spans="1:4">
      <c r="A1212" s="4">
        <v>46137</v>
      </c>
      <c r="B1212" t="s">
        <v>114</v>
      </c>
      <c r="C1212" t="s">
        <v>115</v>
      </c>
      <c r="D1212" s="2">
        <v>4849</v>
      </c>
    </row>
    <row r="1213" spans="1:4">
      <c r="A1213" s="4">
        <v>46138</v>
      </c>
      <c r="B1213" t="s">
        <v>114</v>
      </c>
      <c r="C1213" t="s">
        <v>115</v>
      </c>
      <c r="D1213" s="2">
        <v>4855</v>
      </c>
    </row>
    <row r="1214" spans="1:4">
      <c r="A1214" s="4">
        <v>46139</v>
      </c>
      <c r="B1214" t="s">
        <v>114</v>
      </c>
      <c r="C1214" t="s">
        <v>115</v>
      </c>
      <c r="D1214" s="2">
        <v>4894</v>
      </c>
    </row>
    <row r="1215" spans="1:4">
      <c r="A1215" s="4">
        <v>46140</v>
      </c>
      <c r="B1215" t="s">
        <v>114</v>
      </c>
      <c r="C1215" t="s">
        <v>115</v>
      </c>
      <c r="D1215" s="2">
        <v>4859</v>
      </c>
    </row>
    <row r="1216" spans="1:4">
      <c r="A1216" s="4">
        <v>46141</v>
      </c>
      <c r="B1216" t="s">
        <v>114</v>
      </c>
      <c r="C1216" t="s">
        <v>115</v>
      </c>
      <c r="D1216" s="2">
        <v>4857</v>
      </c>
    </row>
    <row r="1217" spans="1:4">
      <c r="A1217" s="4">
        <v>46142</v>
      </c>
      <c r="B1217" t="s">
        <v>114</v>
      </c>
      <c r="C1217" t="s">
        <v>115</v>
      </c>
      <c r="D1217" s="2">
        <v>4901</v>
      </c>
    </row>
    <row r="1218" spans="1:4">
      <c r="A1218" s="4">
        <v>46143</v>
      </c>
      <c r="B1218" t="s">
        <v>114</v>
      </c>
      <c r="C1218" t="s">
        <v>115</v>
      </c>
      <c r="D1218" s="2">
        <v>4867</v>
      </c>
    </row>
    <row r="1219" spans="1:4">
      <c r="A1219" s="4">
        <v>46144</v>
      </c>
      <c r="B1219" t="s">
        <v>114</v>
      </c>
      <c r="C1219" t="s">
        <v>115</v>
      </c>
      <c r="D1219" s="2">
        <v>4889</v>
      </c>
    </row>
    <row r="1220" spans="1:4">
      <c r="A1220" s="4">
        <v>46145</v>
      </c>
      <c r="B1220" t="s">
        <v>114</v>
      </c>
      <c r="C1220" t="s">
        <v>115</v>
      </c>
      <c r="D1220" s="2">
        <v>4881</v>
      </c>
    </row>
    <row r="1221" spans="1:4">
      <c r="A1221" s="4">
        <v>46146</v>
      </c>
      <c r="B1221" t="s">
        <v>114</v>
      </c>
      <c r="C1221" t="s">
        <v>115</v>
      </c>
      <c r="D1221" s="2">
        <v>4871</v>
      </c>
    </row>
    <row r="1222" spans="1:4">
      <c r="A1222" s="4">
        <v>46147</v>
      </c>
      <c r="B1222" t="s">
        <v>114</v>
      </c>
      <c r="C1222" t="s">
        <v>115</v>
      </c>
      <c r="D1222" s="2">
        <v>4908</v>
      </c>
    </row>
    <row r="1223" spans="1:4">
      <c r="A1223" s="4">
        <v>46148</v>
      </c>
      <c r="B1223" t="s">
        <v>114</v>
      </c>
      <c r="C1223" t="s">
        <v>115</v>
      </c>
      <c r="D1223" s="2">
        <v>4879</v>
      </c>
    </row>
    <row r="1224" spans="1:4">
      <c r="A1224" s="4">
        <v>46149</v>
      </c>
      <c r="B1224" t="s">
        <v>114</v>
      </c>
      <c r="C1224" t="s">
        <v>115</v>
      </c>
      <c r="D1224" s="2">
        <v>4896</v>
      </c>
    </row>
    <row r="1225" spans="1:4">
      <c r="A1225" s="4">
        <v>46150</v>
      </c>
      <c r="B1225" t="s">
        <v>114</v>
      </c>
      <c r="C1225" t="s">
        <v>115</v>
      </c>
      <c r="D1225" s="2">
        <v>4878</v>
      </c>
    </row>
    <row r="1226" spans="1:4">
      <c r="A1226" s="4">
        <v>46151</v>
      </c>
      <c r="B1226" t="s">
        <v>114</v>
      </c>
      <c r="C1226" t="s">
        <v>115</v>
      </c>
      <c r="D1226" s="2">
        <v>4855</v>
      </c>
    </row>
    <row r="1227" spans="1:4">
      <c r="A1227" s="4">
        <v>46152</v>
      </c>
      <c r="B1227" t="s">
        <v>114</v>
      </c>
      <c r="C1227" t="s">
        <v>115</v>
      </c>
      <c r="D1227" s="2">
        <v>4904</v>
      </c>
    </row>
    <row r="1228" spans="1:4">
      <c r="A1228" s="4">
        <v>46153</v>
      </c>
      <c r="B1228" t="s">
        <v>114</v>
      </c>
      <c r="C1228" t="s">
        <v>115</v>
      </c>
      <c r="D1228" s="2">
        <v>4943</v>
      </c>
    </row>
    <row r="1229" spans="1:4">
      <c r="A1229" s="4">
        <v>46154</v>
      </c>
      <c r="B1229" t="s">
        <v>114</v>
      </c>
      <c r="C1229" t="s">
        <v>115</v>
      </c>
      <c r="D1229" s="2">
        <v>4917</v>
      </c>
    </row>
    <row r="1230" spans="1:4">
      <c r="A1230" s="4">
        <v>46155</v>
      </c>
      <c r="B1230" t="s">
        <v>114</v>
      </c>
      <c r="C1230" t="s">
        <v>115</v>
      </c>
      <c r="D1230" s="2">
        <v>4894</v>
      </c>
    </row>
    <row r="1231" spans="1:4">
      <c r="A1231" s="4">
        <v>46156</v>
      </c>
      <c r="B1231" t="s">
        <v>114</v>
      </c>
      <c r="C1231" t="s">
        <v>115</v>
      </c>
      <c r="D1231" s="2">
        <v>4904</v>
      </c>
    </row>
    <row r="1232" spans="1:4">
      <c r="A1232" s="4">
        <v>46157</v>
      </c>
      <c r="B1232" t="s">
        <v>114</v>
      </c>
      <c r="C1232" t="s">
        <v>115</v>
      </c>
      <c r="D1232" s="2">
        <v>4932</v>
      </c>
    </row>
    <row r="1233" spans="1:4">
      <c r="A1233" s="4">
        <v>46158</v>
      </c>
      <c r="B1233" t="s">
        <v>114</v>
      </c>
      <c r="C1233" t="s">
        <v>115</v>
      </c>
      <c r="D1233" s="2">
        <v>4932</v>
      </c>
    </row>
    <row r="1234" spans="1:4">
      <c r="A1234" s="4">
        <v>46159</v>
      </c>
      <c r="B1234" t="s">
        <v>114</v>
      </c>
      <c r="C1234" t="s">
        <v>115</v>
      </c>
      <c r="D1234" s="2">
        <v>4892</v>
      </c>
    </row>
    <row r="1235" spans="1:4">
      <c r="A1235" s="4">
        <v>46160</v>
      </c>
      <c r="B1235" t="s">
        <v>114</v>
      </c>
      <c r="C1235" t="s">
        <v>115</v>
      </c>
      <c r="D1235" s="2">
        <v>4902</v>
      </c>
    </row>
    <row r="1236" spans="1:4">
      <c r="A1236" s="4">
        <v>46161</v>
      </c>
      <c r="B1236" t="s">
        <v>114</v>
      </c>
      <c r="C1236" t="s">
        <v>115</v>
      </c>
      <c r="D1236" s="2">
        <v>4901</v>
      </c>
    </row>
    <row r="1237" spans="1:4">
      <c r="A1237" s="4">
        <v>46162</v>
      </c>
      <c r="B1237" t="s">
        <v>114</v>
      </c>
      <c r="C1237" t="s">
        <v>115</v>
      </c>
      <c r="D1237" s="2">
        <v>4901</v>
      </c>
    </row>
    <row r="1238" spans="1:4">
      <c r="A1238" s="4">
        <v>46163</v>
      </c>
      <c r="B1238" t="s">
        <v>114</v>
      </c>
      <c r="C1238" t="s">
        <v>115</v>
      </c>
      <c r="D1238" s="2">
        <v>4869</v>
      </c>
    </row>
    <row r="1239" spans="1:4">
      <c r="A1239" s="4">
        <v>46164</v>
      </c>
      <c r="B1239" t="s">
        <v>114</v>
      </c>
      <c r="C1239" t="s">
        <v>115</v>
      </c>
      <c r="D1239" s="2">
        <v>4833</v>
      </c>
    </row>
    <row r="1240" spans="1:4">
      <c r="A1240" s="4">
        <v>46165</v>
      </c>
      <c r="B1240" t="s">
        <v>114</v>
      </c>
      <c r="C1240" t="s">
        <v>115</v>
      </c>
      <c r="D1240" s="2">
        <v>4870</v>
      </c>
    </row>
    <row r="1241" spans="1:4">
      <c r="A1241" s="4">
        <v>46166</v>
      </c>
      <c r="B1241" t="s">
        <v>114</v>
      </c>
      <c r="C1241" t="s">
        <v>115</v>
      </c>
      <c r="D1241" s="2">
        <v>4847</v>
      </c>
    </row>
    <row r="1242" spans="1:4">
      <c r="A1242" s="4">
        <v>46167</v>
      </c>
      <c r="B1242" t="s">
        <v>114</v>
      </c>
      <c r="C1242" t="s">
        <v>115</v>
      </c>
      <c r="D1242" s="2">
        <v>4829</v>
      </c>
    </row>
    <row r="1243" spans="1:4">
      <c r="A1243" s="4">
        <v>46168</v>
      </c>
      <c r="B1243" t="s">
        <v>114</v>
      </c>
      <c r="C1243" t="s">
        <v>115</v>
      </c>
      <c r="D1243" s="2">
        <v>4830</v>
      </c>
    </row>
    <row r="1244" spans="1:4">
      <c r="A1244" s="4">
        <v>46169</v>
      </c>
      <c r="B1244" t="s">
        <v>114</v>
      </c>
      <c r="C1244" t="s">
        <v>115</v>
      </c>
      <c r="D1244" s="2">
        <v>4871</v>
      </c>
    </row>
    <row r="1245" spans="1:4">
      <c r="A1245" s="4">
        <v>46170</v>
      </c>
      <c r="B1245" t="s">
        <v>114</v>
      </c>
      <c r="C1245" t="s">
        <v>115</v>
      </c>
      <c r="D1245" s="2">
        <v>4879</v>
      </c>
    </row>
    <row r="1246" spans="1:4">
      <c r="A1246" s="4">
        <v>46171</v>
      </c>
      <c r="B1246" t="s">
        <v>114</v>
      </c>
      <c r="C1246" t="s">
        <v>115</v>
      </c>
      <c r="D1246" s="2">
        <v>4929</v>
      </c>
    </row>
    <row r="1247" spans="1:4">
      <c r="A1247" s="4">
        <v>46172</v>
      </c>
      <c r="B1247" t="s">
        <v>114</v>
      </c>
      <c r="C1247" t="s">
        <v>115</v>
      </c>
      <c r="D1247" s="2">
        <v>4886</v>
      </c>
    </row>
    <row r="1248" spans="1:4">
      <c r="A1248" s="4">
        <v>46173</v>
      </c>
      <c r="B1248" t="s">
        <v>114</v>
      </c>
      <c r="C1248" t="s">
        <v>115</v>
      </c>
      <c r="D1248" s="2">
        <v>4936</v>
      </c>
    </row>
    <row r="1249" spans="1:4">
      <c r="A1249" s="4">
        <v>46174</v>
      </c>
      <c r="B1249" t="s">
        <v>114</v>
      </c>
      <c r="C1249" t="s">
        <v>115</v>
      </c>
      <c r="D1249" s="2">
        <v>4950</v>
      </c>
    </row>
    <row r="1250" spans="1:4">
      <c r="A1250" s="4">
        <v>46175</v>
      </c>
      <c r="B1250" t="s">
        <v>114</v>
      </c>
      <c r="C1250" t="s">
        <v>115</v>
      </c>
      <c r="D1250" s="2">
        <v>4909</v>
      </c>
    </row>
    <row r="1251" spans="1:4">
      <c r="A1251" s="4">
        <v>46176</v>
      </c>
      <c r="B1251" t="s">
        <v>114</v>
      </c>
      <c r="C1251" t="s">
        <v>115</v>
      </c>
      <c r="D1251" s="2">
        <v>4908</v>
      </c>
    </row>
    <row r="1252" spans="1:4">
      <c r="A1252" s="4">
        <v>46177</v>
      </c>
      <c r="B1252" t="s">
        <v>114</v>
      </c>
      <c r="C1252" t="s">
        <v>115</v>
      </c>
      <c r="D1252" s="2">
        <v>4894</v>
      </c>
    </row>
    <row r="1253" spans="1:4">
      <c r="A1253" s="4">
        <v>46178</v>
      </c>
      <c r="B1253" t="s">
        <v>114</v>
      </c>
      <c r="C1253" t="s">
        <v>115</v>
      </c>
      <c r="D1253" s="2">
        <v>4858</v>
      </c>
    </row>
    <row r="1254" spans="1:4">
      <c r="A1254" s="4">
        <v>46179</v>
      </c>
      <c r="B1254" t="s">
        <v>114</v>
      </c>
      <c r="C1254" t="s">
        <v>115</v>
      </c>
      <c r="D1254" s="2">
        <v>4837</v>
      </c>
    </row>
    <row r="1255" spans="1:4">
      <c r="A1255" s="4">
        <v>46180</v>
      </c>
      <c r="B1255" t="s">
        <v>114</v>
      </c>
      <c r="C1255" t="s">
        <v>115</v>
      </c>
      <c r="D1255" s="2">
        <v>4864</v>
      </c>
    </row>
    <row r="1256" spans="1:4">
      <c r="A1256" s="4">
        <v>46181</v>
      </c>
      <c r="B1256" t="s">
        <v>114</v>
      </c>
      <c r="C1256" t="s">
        <v>115</v>
      </c>
      <c r="D1256" s="2">
        <v>4860</v>
      </c>
    </row>
    <row r="1257" spans="1:4">
      <c r="A1257" s="4">
        <v>46182</v>
      </c>
      <c r="B1257" t="s">
        <v>114</v>
      </c>
      <c r="C1257" t="s">
        <v>115</v>
      </c>
      <c r="D1257" s="2">
        <v>4908</v>
      </c>
    </row>
    <row r="1258" spans="1:4">
      <c r="A1258" s="4">
        <v>46183</v>
      </c>
      <c r="B1258" t="s">
        <v>114</v>
      </c>
      <c r="C1258" t="s">
        <v>115</v>
      </c>
      <c r="D1258" s="2">
        <v>4916</v>
      </c>
    </row>
    <row r="1259" spans="1:4">
      <c r="A1259" s="4">
        <v>46184</v>
      </c>
      <c r="B1259" t="s">
        <v>114</v>
      </c>
      <c r="C1259" t="s">
        <v>115</v>
      </c>
      <c r="D1259" s="2">
        <v>4874</v>
      </c>
    </row>
    <row r="1260" spans="1:4">
      <c r="A1260" s="4">
        <v>46185</v>
      </c>
      <c r="B1260" t="s">
        <v>114</v>
      </c>
      <c r="C1260" t="s">
        <v>115</v>
      </c>
      <c r="D1260" s="2">
        <v>4835</v>
      </c>
    </row>
    <row r="1261" spans="1:4">
      <c r="A1261" s="4">
        <v>46186</v>
      </c>
      <c r="B1261" t="s">
        <v>114</v>
      </c>
      <c r="C1261" t="s">
        <v>115</v>
      </c>
      <c r="D1261" s="2">
        <v>4787</v>
      </c>
    </row>
    <row r="1262" spans="1:4">
      <c r="A1262" s="4">
        <v>46187</v>
      </c>
      <c r="B1262" t="s">
        <v>114</v>
      </c>
      <c r="C1262" t="s">
        <v>115</v>
      </c>
      <c r="D1262" s="2">
        <v>4770</v>
      </c>
    </row>
    <row r="1263" spans="1:4">
      <c r="A1263" s="4">
        <v>46188</v>
      </c>
      <c r="B1263" t="s">
        <v>114</v>
      </c>
      <c r="C1263" t="s">
        <v>115</v>
      </c>
      <c r="D1263" s="2">
        <v>4761</v>
      </c>
    </row>
    <row r="1264" spans="1:4">
      <c r="A1264" s="4">
        <v>46189</v>
      </c>
      <c r="B1264" t="s">
        <v>114</v>
      </c>
      <c r="C1264" t="s">
        <v>115</v>
      </c>
      <c r="D1264" s="2">
        <v>4712</v>
      </c>
    </row>
    <row r="1265" spans="1:4">
      <c r="A1265" s="4">
        <v>46190</v>
      </c>
      <c r="B1265" t="s">
        <v>114</v>
      </c>
      <c r="C1265" t="s">
        <v>115</v>
      </c>
      <c r="D1265" s="2">
        <v>4711</v>
      </c>
    </row>
    <row r="1266" spans="1:4">
      <c r="A1266" s="4">
        <v>46191</v>
      </c>
      <c r="B1266" t="s">
        <v>114</v>
      </c>
      <c r="C1266" t="s">
        <v>115</v>
      </c>
      <c r="D1266" s="2">
        <v>4759</v>
      </c>
    </row>
    <row r="1267" spans="1:4">
      <c r="A1267" s="4">
        <v>46192</v>
      </c>
      <c r="B1267" t="s">
        <v>114</v>
      </c>
      <c r="C1267" t="s">
        <v>115</v>
      </c>
      <c r="D1267" s="2">
        <v>4786</v>
      </c>
    </row>
    <row r="1268" spans="1:4">
      <c r="A1268" s="4">
        <v>46193</v>
      </c>
      <c r="B1268" t="s">
        <v>114</v>
      </c>
      <c r="C1268" t="s">
        <v>115</v>
      </c>
      <c r="D1268" s="2">
        <v>4820</v>
      </c>
    </row>
    <row r="1269" spans="1:4">
      <c r="A1269" s="4">
        <v>46194</v>
      </c>
      <c r="B1269" t="s">
        <v>114</v>
      </c>
      <c r="C1269" t="s">
        <v>115</v>
      </c>
      <c r="D1269" s="2">
        <v>4836</v>
      </c>
    </row>
    <row r="1270" spans="1:4">
      <c r="A1270" s="4">
        <v>46195</v>
      </c>
      <c r="B1270" t="s">
        <v>114</v>
      </c>
      <c r="C1270" t="s">
        <v>115</v>
      </c>
      <c r="D1270" s="2">
        <v>4879</v>
      </c>
    </row>
    <row r="1271" spans="1:4">
      <c r="A1271" s="4">
        <v>46196</v>
      </c>
      <c r="B1271" t="s">
        <v>114</v>
      </c>
      <c r="C1271" t="s">
        <v>115</v>
      </c>
      <c r="D1271" s="2">
        <v>4845</v>
      </c>
    </row>
    <row r="1272" spans="1:4">
      <c r="A1272" s="4">
        <v>46197</v>
      </c>
      <c r="B1272" t="s">
        <v>114</v>
      </c>
      <c r="C1272" t="s">
        <v>115</v>
      </c>
      <c r="D1272" s="2">
        <v>4865</v>
      </c>
    </row>
    <row r="1273" spans="1:4">
      <c r="A1273" s="4">
        <v>46198</v>
      </c>
      <c r="B1273" t="s">
        <v>114</v>
      </c>
      <c r="C1273" t="s">
        <v>115</v>
      </c>
      <c r="D1273" s="2">
        <v>4819</v>
      </c>
    </row>
    <row r="1274" spans="1:4">
      <c r="A1274" s="4">
        <v>46199</v>
      </c>
      <c r="B1274" t="s">
        <v>114</v>
      </c>
      <c r="C1274" t="s">
        <v>115</v>
      </c>
      <c r="D1274" s="2">
        <v>4866</v>
      </c>
    </row>
    <row r="1275" spans="1:4">
      <c r="A1275" s="4">
        <v>46200</v>
      </c>
      <c r="B1275" t="s">
        <v>114</v>
      </c>
      <c r="C1275" t="s">
        <v>115</v>
      </c>
      <c r="D1275" s="2">
        <v>4858</v>
      </c>
    </row>
    <row r="1276" spans="1:4">
      <c r="A1276" s="4">
        <v>46201</v>
      </c>
      <c r="B1276" t="s">
        <v>114</v>
      </c>
      <c r="C1276" t="s">
        <v>115</v>
      </c>
      <c r="D1276" s="2">
        <v>4886</v>
      </c>
    </row>
    <row r="1277" spans="1:4">
      <c r="A1277" s="4">
        <v>46202</v>
      </c>
      <c r="B1277" t="s">
        <v>114</v>
      </c>
      <c r="C1277" t="s">
        <v>115</v>
      </c>
      <c r="D1277" s="2">
        <v>4918</v>
      </c>
    </row>
    <row r="1278" spans="1:4">
      <c r="A1278" s="4">
        <v>46203</v>
      </c>
      <c r="B1278" t="s">
        <v>114</v>
      </c>
      <c r="C1278" t="s">
        <v>115</v>
      </c>
      <c r="D1278" s="2">
        <v>4920</v>
      </c>
    </row>
    <row r="1279" spans="1:4">
      <c r="A1279" s="4">
        <v>46204</v>
      </c>
      <c r="B1279" t="s">
        <v>114</v>
      </c>
      <c r="C1279" t="s">
        <v>115</v>
      </c>
      <c r="D1279" s="2">
        <v>4891</v>
      </c>
    </row>
    <row r="1280" spans="1:4">
      <c r="A1280" s="4">
        <v>46205</v>
      </c>
      <c r="B1280" t="s">
        <v>114</v>
      </c>
      <c r="C1280" t="s">
        <v>115</v>
      </c>
      <c r="D1280" s="2">
        <v>4908</v>
      </c>
    </row>
    <row r="1281" spans="1:4">
      <c r="A1281" s="4">
        <v>46206</v>
      </c>
      <c r="B1281" t="s">
        <v>114</v>
      </c>
      <c r="C1281" t="s">
        <v>115</v>
      </c>
      <c r="D1281" s="2">
        <v>4916</v>
      </c>
    </row>
    <row r="1282" spans="1:4">
      <c r="A1282" s="4">
        <v>46207</v>
      </c>
      <c r="B1282" t="s">
        <v>114</v>
      </c>
      <c r="C1282" t="s">
        <v>115</v>
      </c>
      <c r="D1282" s="2">
        <v>4953</v>
      </c>
    </row>
    <row r="1283" spans="1:4">
      <c r="A1283" s="4">
        <v>46208</v>
      </c>
      <c r="B1283" t="s">
        <v>114</v>
      </c>
      <c r="C1283" t="s">
        <v>115</v>
      </c>
      <c r="D1283" s="2">
        <v>5002</v>
      </c>
    </row>
    <row r="1284" spans="1:4">
      <c r="A1284" s="4">
        <v>46209</v>
      </c>
      <c r="B1284" t="s">
        <v>114</v>
      </c>
      <c r="C1284" t="s">
        <v>115</v>
      </c>
      <c r="D1284" s="2">
        <v>4961</v>
      </c>
    </row>
    <row r="1285" spans="1:4">
      <c r="A1285" s="4">
        <v>46210</v>
      </c>
      <c r="B1285" t="s">
        <v>114</v>
      </c>
      <c r="C1285" t="s">
        <v>115</v>
      </c>
      <c r="D1285" s="2">
        <v>4988</v>
      </c>
    </row>
    <row r="1286" spans="1:4">
      <c r="A1286" s="4">
        <v>46211</v>
      </c>
      <c r="B1286" t="s">
        <v>114</v>
      </c>
      <c r="C1286" t="s">
        <v>115</v>
      </c>
      <c r="D1286" s="2">
        <v>5002</v>
      </c>
    </row>
    <row r="1287" spans="1:4">
      <c r="A1287" s="4">
        <v>46212</v>
      </c>
      <c r="B1287" t="s">
        <v>114</v>
      </c>
      <c r="C1287" t="s">
        <v>115</v>
      </c>
      <c r="D1287" s="2">
        <v>4995</v>
      </c>
    </row>
    <row r="1288" spans="1:4">
      <c r="A1288" s="4">
        <v>46213</v>
      </c>
      <c r="B1288" t="s">
        <v>114</v>
      </c>
      <c r="C1288" t="s">
        <v>115</v>
      </c>
      <c r="D1288" s="2">
        <v>4984</v>
      </c>
    </row>
    <row r="1289" spans="1:4">
      <c r="A1289" s="4">
        <v>46214</v>
      </c>
      <c r="B1289" t="s">
        <v>114</v>
      </c>
      <c r="C1289" t="s">
        <v>115</v>
      </c>
      <c r="D1289" s="2">
        <v>4965</v>
      </c>
    </row>
    <row r="1290" spans="1:4">
      <c r="A1290" s="4">
        <v>46215</v>
      </c>
      <c r="B1290" t="s">
        <v>114</v>
      </c>
      <c r="C1290" t="s">
        <v>115</v>
      </c>
      <c r="D1290" s="2">
        <v>4960</v>
      </c>
    </row>
    <row r="1291" spans="1:4">
      <c r="A1291" s="4">
        <v>46216</v>
      </c>
      <c r="B1291" t="s">
        <v>114</v>
      </c>
      <c r="C1291" t="s">
        <v>115</v>
      </c>
      <c r="D1291" s="2">
        <v>4914</v>
      </c>
    </row>
    <row r="1292" spans="1:4">
      <c r="A1292" s="4">
        <v>46217</v>
      </c>
      <c r="B1292" t="s">
        <v>114</v>
      </c>
      <c r="C1292" t="s">
        <v>115</v>
      </c>
      <c r="D1292" s="2">
        <v>4906</v>
      </c>
    </row>
    <row r="1293" spans="1:4">
      <c r="A1293" s="4">
        <v>46218</v>
      </c>
      <c r="B1293" t="s">
        <v>114</v>
      </c>
      <c r="C1293" t="s">
        <v>115</v>
      </c>
      <c r="D1293" s="2">
        <v>4866</v>
      </c>
    </row>
    <row r="1294" spans="1:4">
      <c r="A1294" s="4">
        <v>46219</v>
      </c>
      <c r="B1294" t="s">
        <v>114</v>
      </c>
      <c r="C1294" t="s">
        <v>115</v>
      </c>
      <c r="D1294" s="2">
        <v>4838</v>
      </c>
    </row>
    <row r="1295" spans="1:4">
      <c r="A1295" s="4">
        <v>46220</v>
      </c>
      <c r="B1295" t="s">
        <v>114</v>
      </c>
      <c r="C1295" t="s">
        <v>115</v>
      </c>
      <c r="D1295" s="2">
        <v>4849</v>
      </c>
    </row>
    <row r="1296" spans="1:4">
      <c r="A1296" s="4">
        <v>46221</v>
      </c>
      <c r="B1296" t="s">
        <v>114</v>
      </c>
      <c r="C1296" t="s">
        <v>115</v>
      </c>
      <c r="D1296" s="2">
        <v>4804</v>
      </c>
    </row>
    <row r="1297" spans="1:4">
      <c r="A1297" s="4">
        <v>46222</v>
      </c>
      <c r="B1297" t="s">
        <v>114</v>
      </c>
      <c r="C1297" t="s">
        <v>115</v>
      </c>
      <c r="D1297" s="2">
        <v>4756</v>
      </c>
    </row>
    <row r="1298" spans="1:4">
      <c r="A1298" s="4">
        <v>46223</v>
      </c>
      <c r="B1298" t="s">
        <v>114</v>
      </c>
      <c r="C1298" t="s">
        <v>115</v>
      </c>
      <c r="D1298" s="2">
        <v>4710</v>
      </c>
    </row>
    <row r="1299" spans="1:4">
      <c r="A1299" s="4">
        <v>46224</v>
      </c>
      <c r="B1299" t="s">
        <v>114</v>
      </c>
      <c r="C1299" t="s">
        <v>115</v>
      </c>
      <c r="D1299" s="2">
        <v>4721</v>
      </c>
    </row>
    <row r="1300" spans="1:4">
      <c r="A1300" s="4">
        <v>46225</v>
      </c>
      <c r="B1300" t="s">
        <v>114</v>
      </c>
      <c r="C1300" t="s">
        <v>115</v>
      </c>
      <c r="D1300" s="2">
        <v>4673</v>
      </c>
    </row>
    <row r="1301" spans="1:4">
      <c r="A1301" s="4">
        <v>46226</v>
      </c>
      <c r="B1301" t="s">
        <v>114</v>
      </c>
      <c r="C1301" t="s">
        <v>115</v>
      </c>
      <c r="D1301" s="2">
        <v>4711</v>
      </c>
    </row>
    <row r="1302" spans="1:4">
      <c r="A1302" s="4">
        <v>46227</v>
      </c>
      <c r="B1302" t="s">
        <v>114</v>
      </c>
      <c r="C1302" t="s">
        <v>115</v>
      </c>
      <c r="D1302" s="2">
        <v>4697</v>
      </c>
    </row>
    <row r="1303" spans="1:4">
      <c r="A1303" s="4">
        <v>46228</v>
      </c>
      <c r="B1303" t="s">
        <v>114</v>
      </c>
      <c r="C1303" t="s">
        <v>115</v>
      </c>
      <c r="D1303" s="2">
        <v>4721</v>
      </c>
    </row>
    <row r="1304" spans="1:4">
      <c r="A1304" s="4">
        <v>46229</v>
      </c>
      <c r="B1304" t="s">
        <v>114</v>
      </c>
      <c r="C1304" t="s">
        <v>115</v>
      </c>
      <c r="D1304" s="2">
        <v>4769</v>
      </c>
    </row>
    <row r="1305" spans="1:4">
      <c r="A1305" s="4">
        <v>46230</v>
      </c>
      <c r="B1305" t="s">
        <v>114</v>
      </c>
      <c r="C1305" t="s">
        <v>115</v>
      </c>
      <c r="D1305" s="2">
        <v>4762</v>
      </c>
    </row>
    <row r="1306" spans="1:4">
      <c r="A1306" s="4">
        <v>46231</v>
      </c>
      <c r="B1306" t="s">
        <v>114</v>
      </c>
      <c r="C1306" t="s">
        <v>115</v>
      </c>
      <c r="D1306" s="2">
        <v>4735</v>
      </c>
    </row>
    <row r="1307" spans="1:4">
      <c r="A1307" s="4">
        <v>46232</v>
      </c>
      <c r="B1307" t="s">
        <v>114</v>
      </c>
      <c r="C1307" t="s">
        <v>115</v>
      </c>
      <c r="D1307" s="2">
        <v>4730</v>
      </c>
    </row>
    <row r="1308" spans="1:4">
      <c r="A1308" s="4">
        <v>46233</v>
      </c>
      <c r="B1308" t="s">
        <v>114</v>
      </c>
      <c r="C1308" t="s">
        <v>115</v>
      </c>
      <c r="D1308" s="2">
        <v>4712</v>
      </c>
    </row>
    <row r="1309" spans="1:4">
      <c r="A1309" s="4">
        <v>46234</v>
      </c>
      <c r="B1309" t="s">
        <v>114</v>
      </c>
      <c r="C1309" t="s">
        <v>115</v>
      </c>
      <c r="D1309" s="2">
        <v>4734</v>
      </c>
    </row>
    <row r="1310" spans="1:4">
      <c r="A1310" s="4">
        <v>46235</v>
      </c>
      <c r="B1310" t="s">
        <v>114</v>
      </c>
      <c r="C1310" t="s">
        <v>115</v>
      </c>
      <c r="D1310" s="2">
        <v>4746</v>
      </c>
    </row>
    <row r="1311" spans="1:4">
      <c r="A1311" s="4">
        <v>46236</v>
      </c>
      <c r="B1311" t="s">
        <v>114</v>
      </c>
      <c r="C1311" t="s">
        <v>115</v>
      </c>
      <c r="D1311" s="2">
        <v>4719</v>
      </c>
    </row>
    <row r="1312" spans="1:4">
      <c r="A1312" s="4">
        <v>46237</v>
      </c>
      <c r="B1312" t="s">
        <v>114</v>
      </c>
      <c r="C1312" t="s">
        <v>115</v>
      </c>
      <c r="D1312" s="2">
        <v>4702</v>
      </c>
    </row>
    <row r="1313" spans="1:4">
      <c r="A1313" s="4">
        <v>46238</v>
      </c>
      <c r="B1313" t="s">
        <v>114</v>
      </c>
      <c r="C1313" t="s">
        <v>115</v>
      </c>
      <c r="D1313" s="2">
        <v>4686</v>
      </c>
    </row>
    <row r="1314" spans="1:4">
      <c r="A1314" s="4">
        <v>46239</v>
      </c>
      <c r="B1314" t="s">
        <v>114</v>
      </c>
      <c r="C1314" t="s">
        <v>115</v>
      </c>
      <c r="D1314" s="2">
        <v>4668</v>
      </c>
    </row>
    <row r="1315" spans="1:4">
      <c r="A1315" s="4">
        <v>46240</v>
      </c>
      <c r="B1315" t="s">
        <v>114</v>
      </c>
      <c r="C1315" t="s">
        <v>115</v>
      </c>
      <c r="D1315" s="2">
        <v>4678</v>
      </c>
    </row>
    <row r="1316" spans="1:4">
      <c r="A1316" s="4">
        <v>46241</v>
      </c>
      <c r="B1316" t="s">
        <v>114</v>
      </c>
      <c r="C1316" t="s">
        <v>115</v>
      </c>
      <c r="D1316" s="2">
        <v>4661</v>
      </c>
    </row>
    <row r="1317" spans="1:4">
      <c r="A1317" s="4">
        <v>46242</v>
      </c>
      <c r="B1317" t="s">
        <v>114</v>
      </c>
      <c r="C1317" t="s">
        <v>115</v>
      </c>
      <c r="D1317" s="2">
        <v>4666</v>
      </c>
    </row>
    <row r="1318" spans="1:4">
      <c r="A1318" s="4">
        <v>46243</v>
      </c>
      <c r="B1318" t="s">
        <v>114</v>
      </c>
      <c r="C1318" t="s">
        <v>115</v>
      </c>
      <c r="D1318" s="2">
        <v>4622</v>
      </c>
    </row>
    <row r="1319" spans="1:4">
      <c r="A1319" s="4">
        <v>46244</v>
      </c>
      <c r="B1319" t="s">
        <v>114</v>
      </c>
      <c r="C1319" t="s">
        <v>115</v>
      </c>
      <c r="D1319" s="2">
        <v>4579</v>
      </c>
    </row>
    <row r="1320" spans="1:4">
      <c r="A1320" s="4">
        <v>46245</v>
      </c>
      <c r="B1320" t="s">
        <v>114</v>
      </c>
      <c r="C1320" t="s">
        <v>115</v>
      </c>
      <c r="D1320" s="2">
        <v>4601</v>
      </c>
    </row>
    <row r="1321" spans="1:4">
      <c r="A1321" s="4">
        <v>46246</v>
      </c>
      <c r="B1321" t="s">
        <v>114</v>
      </c>
      <c r="C1321" t="s">
        <v>115</v>
      </c>
      <c r="D1321" s="2">
        <v>4623</v>
      </c>
    </row>
    <row r="1322" spans="1:4">
      <c r="A1322" s="4">
        <v>46247</v>
      </c>
      <c r="B1322" t="s">
        <v>114</v>
      </c>
      <c r="C1322" t="s">
        <v>115</v>
      </c>
      <c r="D1322" s="2">
        <v>4619</v>
      </c>
    </row>
    <row r="1323" spans="1:4">
      <c r="A1323" s="4">
        <v>46248</v>
      </c>
      <c r="B1323" t="s">
        <v>114</v>
      </c>
      <c r="C1323" t="s">
        <v>115</v>
      </c>
      <c r="D1323" s="2">
        <v>4623</v>
      </c>
    </row>
    <row r="1324" spans="1:4">
      <c r="A1324" s="4">
        <v>46249</v>
      </c>
      <c r="B1324" t="s">
        <v>114</v>
      </c>
      <c r="C1324" t="s">
        <v>115</v>
      </c>
      <c r="D1324" s="2">
        <v>4586</v>
      </c>
    </row>
    <row r="1325" spans="1:4">
      <c r="A1325" s="4">
        <v>46250</v>
      </c>
      <c r="B1325" t="s">
        <v>114</v>
      </c>
      <c r="C1325" t="s">
        <v>115</v>
      </c>
      <c r="D1325" s="2">
        <v>4540</v>
      </c>
    </row>
    <row r="1326" spans="1:4">
      <c r="A1326" s="4">
        <v>46251</v>
      </c>
      <c r="B1326" t="s">
        <v>114</v>
      </c>
      <c r="C1326" t="s">
        <v>115</v>
      </c>
      <c r="D1326" s="2">
        <v>4576</v>
      </c>
    </row>
    <row r="1327" spans="1:4">
      <c r="A1327" s="4">
        <v>46252</v>
      </c>
      <c r="B1327" t="s">
        <v>114</v>
      </c>
      <c r="C1327" t="s">
        <v>115</v>
      </c>
      <c r="D1327" s="2">
        <v>4584</v>
      </c>
    </row>
    <row r="1328" spans="1:4">
      <c r="A1328" s="4">
        <v>46253</v>
      </c>
      <c r="B1328" t="s">
        <v>114</v>
      </c>
      <c r="C1328" t="s">
        <v>115</v>
      </c>
      <c r="D1328" s="2">
        <v>4634</v>
      </c>
    </row>
    <row r="1329" spans="1:4">
      <c r="A1329" s="4">
        <v>46254</v>
      </c>
      <c r="B1329" t="s">
        <v>114</v>
      </c>
      <c r="C1329" t="s">
        <v>115</v>
      </c>
      <c r="D1329" s="2">
        <v>4628</v>
      </c>
    </row>
    <row r="1330" spans="1:4">
      <c r="A1330" s="4">
        <v>46255</v>
      </c>
      <c r="B1330" t="s">
        <v>114</v>
      </c>
      <c r="C1330" t="s">
        <v>115</v>
      </c>
      <c r="D1330" s="2">
        <v>4584</v>
      </c>
    </row>
    <row r="1331" spans="1:4">
      <c r="A1331" s="4">
        <v>46256</v>
      </c>
      <c r="B1331" t="s">
        <v>114</v>
      </c>
      <c r="C1331" t="s">
        <v>115</v>
      </c>
      <c r="D1331" s="2">
        <v>4568</v>
      </c>
    </row>
    <row r="1332" spans="1:4">
      <c r="A1332" s="4">
        <v>46257</v>
      </c>
      <c r="B1332" t="s">
        <v>114</v>
      </c>
      <c r="C1332" t="s">
        <v>115</v>
      </c>
      <c r="D1332" s="2">
        <v>4566</v>
      </c>
    </row>
    <row r="1333" spans="1:4">
      <c r="A1333" s="4">
        <v>46258</v>
      </c>
      <c r="B1333" t="s">
        <v>114</v>
      </c>
      <c r="C1333" t="s">
        <v>115</v>
      </c>
      <c r="D1333" s="2">
        <v>4605</v>
      </c>
    </row>
    <row r="1334" spans="1:4">
      <c r="A1334" s="4">
        <v>46259</v>
      </c>
      <c r="B1334" t="s">
        <v>114</v>
      </c>
      <c r="C1334" t="s">
        <v>115</v>
      </c>
      <c r="D1334" s="2">
        <v>4645</v>
      </c>
    </row>
    <row r="1335" spans="1:4">
      <c r="A1335" s="4">
        <v>46260</v>
      </c>
      <c r="B1335" t="s">
        <v>114</v>
      </c>
      <c r="C1335" t="s">
        <v>115</v>
      </c>
      <c r="D1335" s="2">
        <v>4644</v>
      </c>
    </row>
    <row r="1336" spans="1:4">
      <c r="A1336" s="4">
        <v>46261</v>
      </c>
      <c r="B1336" t="s">
        <v>114</v>
      </c>
      <c r="C1336" t="s">
        <v>115</v>
      </c>
      <c r="D1336" s="2">
        <v>4608</v>
      </c>
    </row>
    <row r="1337" spans="1:4">
      <c r="A1337" s="4">
        <v>46262</v>
      </c>
      <c r="B1337" t="s">
        <v>114</v>
      </c>
      <c r="C1337" t="s">
        <v>115</v>
      </c>
      <c r="D1337" s="2">
        <v>4608</v>
      </c>
    </row>
    <row r="1338" spans="1:4">
      <c r="A1338" s="4">
        <v>46263</v>
      </c>
      <c r="B1338" t="s">
        <v>114</v>
      </c>
      <c r="C1338" t="s">
        <v>115</v>
      </c>
      <c r="D1338" s="2">
        <v>4607</v>
      </c>
    </row>
    <row r="1339" spans="1:4">
      <c r="A1339" s="4">
        <v>46264</v>
      </c>
      <c r="B1339" t="s">
        <v>114</v>
      </c>
      <c r="C1339" t="s">
        <v>115</v>
      </c>
      <c r="D1339" s="2">
        <v>4604</v>
      </c>
    </row>
    <row r="1340" spans="1:4">
      <c r="A1340" s="4">
        <v>46265</v>
      </c>
      <c r="B1340" t="s">
        <v>114</v>
      </c>
      <c r="C1340" t="s">
        <v>115</v>
      </c>
      <c r="D1340" s="2">
        <v>4599</v>
      </c>
    </row>
    <row r="1341" spans="1:4">
      <c r="A1341" s="4">
        <v>46266</v>
      </c>
      <c r="B1341" t="s">
        <v>114</v>
      </c>
      <c r="C1341" t="s">
        <v>115</v>
      </c>
      <c r="D1341" s="2">
        <v>4587</v>
      </c>
    </row>
    <row r="1342" spans="1:4">
      <c r="A1342" s="4">
        <v>46267</v>
      </c>
      <c r="B1342" t="s">
        <v>114</v>
      </c>
      <c r="C1342" t="s">
        <v>115</v>
      </c>
      <c r="D1342" s="2">
        <v>4555</v>
      </c>
    </row>
    <row r="1343" spans="1:4">
      <c r="A1343" s="4">
        <v>46268</v>
      </c>
      <c r="B1343" t="s">
        <v>114</v>
      </c>
      <c r="C1343" t="s">
        <v>115</v>
      </c>
      <c r="D1343" s="2">
        <v>4589</v>
      </c>
    </row>
    <row r="1344" spans="1:4">
      <c r="A1344" s="4">
        <v>46269</v>
      </c>
      <c r="B1344" t="s">
        <v>114</v>
      </c>
      <c r="C1344" t="s">
        <v>115</v>
      </c>
      <c r="D1344" s="2">
        <v>4631</v>
      </c>
    </row>
    <row r="1345" spans="1:4">
      <c r="A1345" s="4">
        <v>46270</v>
      </c>
      <c r="B1345" t="s">
        <v>114</v>
      </c>
      <c r="C1345" t="s">
        <v>115</v>
      </c>
      <c r="D1345" s="2">
        <v>4603</v>
      </c>
    </row>
    <row r="1346" spans="1:4">
      <c r="A1346" s="4">
        <v>46271</v>
      </c>
      <c r="B1346" t="s">
        <v>114</v>
      </c>
      <c r="C1346" t="s">
        <v>115</v>
      </c>
      <c r="D1346" s="2">
        <v>4624</v>
      </c>
    </row>
    <row r="1347" spans="1:4">
      <c r="A1347" s="4">
        <v>46272</v>
      </c>
      <c r="B1347" t="s">
        <v>114</v>
      </c>
      <c r="C1347" t="s">
        <v>115</v>
      </c>
      <c r="D1347" s="2">
        <v>4611</v>
      </c>
    </row>
    <row r="1348" spans="1:4">
      <c r="A1348" s="4">
        <v>46273</v>
      </c>
      <c r="B1348" t="s">
        <v>114</v>
      </c>
      <c r="C1348" t="s">
        <v>115</v>
      </c>
      <c r="D1348" s="2">
        <v>4616</v>
      </c>
    </row>
    <row r="1349" spans="1:4">
      <c r="A1349" s="4">
        <v>46274</v>
      </c>
      <c r="B1349" t="s">
        <v>114</v>
      </c>
      <c r="C1349" t="s">
        <v>115</v>
      </c>
      <c r="D1349" s="2">
        <v>4622</v>
      </c>
    </row>
    <row r="1350" spans="1:4">
      <c r="A1350" s="4">
        <v>46275</v>
      </c>
      <c r="B1350" t="s">
        <v>114</v>
      </c>
      <c r="C1350" t="s">
        <v>115</v>
      </c>
      <c r="D1350" s="2">
        <v>4662</v>
      </c>
    </row>
    <row r="1351" spans="1:4">
      <c r="A1351" s="4">
        <v>46276</v>
      </c>
      <c r="B1351" t="s">
        <v>114</v>
      </c>
      <c r="C1351" t="s">
        <v>115</v>
      </c>
      <c r="D1351" s="2">
        <v>4673</v>
      </c>
    </row>
    <row r="1352" spans="1:4">
      <c r="A1352" s="4">
        <v>46277</v>
      </c>
      <c r="B1352" t="s">
        <v>114</v>
      </c>
      <c r="C1352" t="s">
        <v>115</v>
      </c>
      <c r="D1352" s="2">
        <v>4701</v>
      </c>
    </row>
    <row r="1353" spans="1:4">
      <c r="A1353" s="4">
        <v>46278</v>
      </c>
      <c r="B1353" t="s">
        <v>114</v>
      </c>
      <c r="C1353" t="s">
        <v>115</v>
      </c>
      <c r="D1353" s="2">
        <v>4746</v>
      </c>
    </row>
    <row r="1354" spans="1:4">
      <c r="A1354" s="4">
        <v>46279</v>
      </c>
      <c r="B1354" t="s">
        <v>114</v>
      </c>
      <c r="C1354" t="s">
        <v>115</v>
      </c>
      <c r="D1354" s="2">
        <v>4778</v>
      </c>
    </row>
    <row r="1355" spans="1:4">
      <c r="A1355" s="4">
        <v>46280</v>
      </c>
      <c r="B1355" t="s">
        <v>114</v>
      </c>
      <c r="C1355" t="s">
        <v>115</v>
      </c>
      <c r="D1355" s="2">
        <v>4736</v>
      </c>
    </row>
    <row r="1356" spans="1:4">
      <c r="A1356" s="4">
        <v>46281</v>
      </c>
      <c r="B1356" t="s">
        <v>114</v>
      </c>
      <c r="C1356" t="s">
        <v>115</v>
      </c>
      <c r="D1356" s="2">
        <v>4718</v>
      </c>
    </row>
    <row r="1357" spans="1:4">
      <c r="A1357" s="4">
        <v>46282</v>
      </c>
      <c r="B1357" t="s">
        <v>114</v>
      </c>
      <c r="C1357" t="s">
        <v>115</v>
      </c>
      <c r="D1357" s="2">
        <v>4718</v>
      </c>
    </row>
    <row r="1358" spans="1:4">
      <c r="A1358" s="4">
        <v>46283</v>
      </c>
      <c r="B1358" t="s">
        <v>114</v>
      </c>
      <c r="C1358" t="s">
        <v>115</v>
      </c>
      <c r="D1358" s="2">
        <v>4753</v>
      </c>
    </row>
    <row r="1359" spans="1:4">
      <c r="A1359" s="4">
        <v>46284</v>
      </c>
      <c r="B1359" t="s">
        <v>114</v>
      </c>
      <c r="C1359" t="s">
        <v>115</v>
      </c>
      <c r="D1359" s="2">
        <v>4755</v>
      </c>
    </row>
    <row r="1360" spans="1:4">
      <c r="A1360" s="4">
        <v>46285</v>
      </c>
      <c r="B1360" t="s">
        <v>114</v>
      </c>
      <c r="C1360" t="s">
        <v>115</v>
      </c>
      <c r="D1360" s="2">
        <v>4718</v>
      </c>
    </row>
    <row r="1361" spans="1:4">
      <c r="A1361" s="4">
        <v>46286</v>
      </c>
      <c r="B1361" t="s">
        <v>114</v>
      </c>
      <c r="C1361" t="s">
        <v>115</v>
      </c>
      <c r="D1361" s="2">
        <v>4686</v>
      </c>
    </row>
    <row r="1362" spans="1:4">
      <c r="A1362" s="4">
        <v>46287</v>
      </c>
      <c r="B1362" t="s">
        <v>114</v>
      </c>
      <c r="C1362" t="s">
        <v>115</v>
      </c>
      <c r="D1362" s="2">
        <v>4722</v>
      </c>
    </row>
    <row r="1363" spans="1:4">
      <c r="A1363" s="4">
        <v>46288</v>
      </c>
      <c r="B1363" t="s">
        <v>114</v>
      </c>
      <c r="C1363" t="s">
        <v>115</v>
      </c>
      <c r="D1363" s="2">
        <v>4753</v>
      </c>
    </row>
    <row r="1364" spans="1:4">
      <c r="A1364" s="4">
        <v>46289</v>
      </c>
      <c r="B1364" t="s">
        <v>114</v>
      </c>
      <c r="C1364" t="s">
        <v>115</v>
      </c>
      <c r="D1364" s="2">
        <v>4732</v>
      </c>
    </row>
    <row r="1365" spans="1:4">
      <c r="A1365" s="4">
        <v>46290</v>
      </c>
      <c r="B1365" t="s">
        <v>114</v>
      </c>
      <c r="C1365" t="s">
        <v>115</v>
      </c>
      <c r="D1365" s="2">
        <v>4723</v>
      </c>
    </row>
    <row r="1366" spans="1:4">
      <c r="A1366" s="4">
        <v>46291</v>
      </c>
      <c r="B1366" t="s">
        <v>114</v>
      </c>
      <c r="C1366" t="s">
        <v>115</v>
      </c>
      <c r="D1366" s="2">
        <v>4756</v>
      </c>
    </row>
    <row r="1367" spans="1:4">
      <c r="A1367" s="4">
        <v>46292</v>
      </c>
      <c r="B1367" t="s">
        <v>114</v>
      </c>
      <c r="C1367" t="s">
        <v>115</v>
      </c>
      <c r="D1367" s="2">
        <v>4756</v>
      </c>
    </row>
    <row r="1368" spans="1:4">
      <c r="A1368" s="4">
        <v>46293</v>
      </c>
      <c r="B1368" t="s">
        <v>114</v>
      </c>
      <c r="C1368" t="s">
        <v>115</v>
      </c>
      <c r="D1368" s="2">
        <v>4786</v>
      </c>
    </row>
    <row r="1369" spans="1:4">
      <c r="A1369" s="4">
        <v>46294</v>
      </c>
      <c r="B1369" t="s">
        <v>114</v>
      </c>
      <c r="C1369" t="s">
        <v>115</v>
      </c>
      <c r="D1369" s="2">
        <v>4747</v>
      </c>
    </row>
    <row r="1370" spans="1:4">
      <c r="A1370" s="4">
        <v>46295</v>
      </c>
      <c r="B1370" t="s">
        <v>114</v>
      </c>
      <c r="C1370" t="s">
        <v>115</v>
      </c>
      <c r="D1370" s="2">
        <v>4697</v>
      </c>
    </row>
    <row r="1371" spans="1:4">
      <c r="A1371" s="4">
        <v>46296</v>
      </c>
      <c r="B1371" t="s">
        <v>114</v>
      </c>
      <c r="C1371" t="s">
        <v>115</v>
      </c>
      <c r="D1371" s="2">
        <v>4737</v>
      </c>
    </row>
    <row r="1372" spans="1:4">
      <c r="A1372" s="4">
        <v>46297</v>
      </c>
      <c r="B1372" t="s">
        <v>114</v>
      </c>
      <c r="C1372" t="s">
        <v>115</v>
      </c>
      <c r="D1372" s="2">
        <v>4755</v>
      </c>
    </row>
    <row r="1373" spans="1:4">
      <c r="A1373" s="4">
        <v>46298</v>
      </c>
      <c r="B1373" t="s">
        <v>114</v>
      </c>
      <c r="C1373" t="s">
        <v>115</v>
      </c>
      <c r="D1373" s="2">
        <v>4746</v>
      </c>
    </row>
    <row r="1374" spans="1:4">
      <c r="A1374" s="4">
        <v>46299</v>
      </c>
      <c r="B1374" t="s">
        <v>114</v>
      </c>
      <c r="C1374" t="s">
        <v>115</v>
      </c>
      <c r="D1374" s="2">
        <v>4738</v>
      </c>
    </row>
    <row r="1375" spans="1:4">
      <c r="A1375" s="4">
        <v>46300</v>
      </c>
      <c r="B1375" t="s">
        <v>114</v>
      </c>
      <c r="C1375" t="s">
        <v>115</v>
      </c>
      <c r="D1375" s="2">
        <v>4717</v>
      </c>
    </row>
    <row r="1376" spans="1:4">
      <c r="A1376" s="4">
        <v>46301</v>
      </c>
      <c r="B1376" t="s">
        <v>114</v>
      </c>
      <c r="C1376" t="s">
        <v>115</v>
      </c>
      <c r="D1376" s="2">
        <v>4750</v>
      </c>
    </row>
    <row r="1377" spans="1:4">
      <c r="A1377" s="4">
        <v>46302</v>
      </c>
      <c r="B1377" t="s">
        <v>114</v>
      </c>
      <c r="C1377" t="s">
        <v>115</v>
      </c>
      <c r="D1377" s="2">
        <v>4701</v>
      </c>
    </row>
    <row r="1378" spans="1:4">
      <c r="A1378" s="4">
        <v>46303</v>
      </c>
      <c r="B1378" t="s">
        <v>114</v>
      </c>
      <c r="C1378" t="s">
        <v>115</v>
      </c>
      <c r="D1378" s="2">
        <v>4698</v>
      </c>
    </row>
    <row r="1379" spans="1:4">
      <c r="A1379" s="4">
        <v>46304</v>
      </c>
      <c r="B1379" t="s">
        <v>114</v>
      </c>
      <c r="C1379" t="s">
        <v>115</v>
      </c>
      <c r="D1379" s="2">
        <v>4733</v>
      </c>
    </row>
    <row r="1380" spans="1:4">
      <c r="A1380" s="4">
        <v>46305</v>
      </c>
      <c r="B1380" t="s">
        <v>114</v>
      </c>
      <c r="C1380" t="s">
        <v>115</v>
      </c>
      <c r="D1380" s="2">
        <v>4706</v>
      </c>
    </row>
    <row r="1381" spans="1:4">
      <c r="A1381" s="4">
        <v>46306</v>
      </c>
      <c r="B1381" t="s">
        <v>114</v>
      </c>
      <c r="C1381" t="s">
        <v>115</v>
      </c>
      <c r="D1381" s="2">
        <v>4721</v>
      </c>
    </row>
    <row r="1382" spans="1:4">
      <c r="A1382" s="4">
        <v>46307</v>
      </c>
      <c r="B1382" t="s">
        <v>114</v>
      </c>
      <c r="C1382" t="s">
        <v>115</v>
      </c>
      <c r="D1382" s="2">
        <v>4748</v>
      </c>
    </row>
    <row r="1383" spans="1:4">
      <c r="A1383" s="4">
        <v>46308</v>
      </c>
      <c r="B1383" t="s">
        <v>114</v>
      </c>
      <c r="C1383" t="s">
        <v>115</v>
      </c>
      <c r="D1383" s="2">
        <v>4712</v>
      </c>
    </row>
    <row r="1384" spans="1:4">
      <c r="A1384" s="4">
        <v>46309</v>
      </c>
      <c r="B1384" t="s">
        <v>114</v>
      </c>
      <c r="C1384" t="s">
        <v>115</v>
      </c>
      <c r="D1384" s="2">
        <v>4711</v>
      </c>
    </row>
    <row r="1385" spans="1:4">
      <c r="A1385" s="4">
        <v>46310</v>
      </c>
      <c r="B1385" t="s">
        <v>114</v>
      </c>
      <c r="C1385" t="s">
        <v>115</v>
      </c>
      <c r="D1385" s="2">
        <v>4751</v>
      </c>
    </row>
    <row r="1386" spans="1:4">
      <c r="A1386" s="4">
        <v>46311</v>
      </c>
      <c r="B1386" t="s">
        <v>114</v>
      </c>
      <c r="C1386" t="s">
        <v>115</v>
      </c>
      <c r="D1386" s="2">
        <v>4743</v>
      </c>
    </row>
    <row r="1387" spans="1:4">
      <c r="A1387" s="4">
        <v>46312</v>
      </c>
      <c r="B1387" t="s">
        <v>114</v>
      </c>
      <c r="C1387" t="s">
        <v>115</v>
      </c>
      <c r="D1387" s="2">
        <v>4693</v>
      </c>
    </row>
    <row r="1388" spans="1:4">
      <c r="A1388" s="4">
        <v>46313</v>
      </c>
      <c r="B1388" t="s">
        <v>114</v>
      </c>
      <c r="C1388" t="s">
        <v>115</v>
      </c>
      <c r="D1388" s="2">
        <v>4711</v>
      </c>
    </row>
    <row r="1389" spans="1:4">
      <c r="A1389" s="4">
        <v>46314</v>
      </c>
      <c r="B1389" t="s">
        <v>114</v>
      </c>
      <c r="C1389" t="s">
        <v>115</v>
      </c>
      <c r="D1389" s="2">
        <v>4683</v>
      </c>
    </row>
    <row r="1390" spans="1:4">
      <c r="A1390" s="4">
        <v>46315</v>
      </c>
      <c r="B1390" t="s">
        <v>114</v>
      </c>
      <c r="C1390" t="s">
        <v>115</v>
      </c>
      <c r="D1390" s="2">
        <v>4708</v>
      </c>
    </row>
    <row r="1391" spans="1:4">
      <c r="A1391" s="4">
        <v>46316</v>
      </c>
      <c r="B1391" t="s">
        <v>114</v>
      </c>
      <c r="C1391" t="s">
        <v>115</v>
      </c>
      <c r="D1391" s="2">
        <v>4713</v>
      </c>
    </row>
    <row r="1392" spans="1:4">
      <c r="A1392" s="4">
        <v>46317</v>
      </c>
      <c r="B1392" t="s">
        <v>114</v>
      </c>
      <c r="C1392" t="s">
        <v>115</v>
      </c>
      <c r="D1392" s="2">
        <v>4709</v>
      </c>
    </row>
    <row r="1393" spans="1:4">
      <c r="A1393" s="4">
        <v>46318</v>
      </c>
      <c r="B1393" t="s">
        <v>114</v>
      </c>
      <c r="C1393" t="s">
        <v>115</v>
      </c>
      <c r="D1393" s="2">
        <v>4665</v>
      </c>
    </row>
    <row r="1394" spans="1:4">
      <c r="A1394" s="4">
        <v>46319</v>
      </c>
      <c r="B1394" t="s">
        <v>114</v>
      </c>
      <c r="C1394" t="s">
        <v>115</v>
      </c>
      <c r="D1394" s="2">
        <v>4654</v>
      </c>
    </row>
    <row r="1395" spans="1:4">
      <c r="A1395" s="4">
        <v>46320</v>
      </c>
      <c r="B1395" t="s">
        <v>114</v>
      </c>
      <c r="C1395" t="s">
        <v>115</v>
      </c>
      <c r="D1395" s="2">
        <v>4688</v>
      </c>
    </row>
    <row r="1396" spans="1:4">
      <c r="A1396" s="4">
        <v>46321</v>
      </c>
      <c r="B1396" t="s">
        <v>114</v>
      </c>
      <c r="C1396" t="s">
        <v>115</v>
      </c>
      <c r="D1396" s="2">
        <v>4696</v>
      </c>
    </row>
    <row r="1397" spans="1:4">
      <c r="A1397" s="4">
        <v>46322</v>
      </c>
      <c r="B1397" t="s">
        <v>114</v>
      </c>
      <c r="C1397" t="s">
        <v>115</v>
      </c>
      <c r="D1397" s="2">
        <v>4674</v>
      </c>
    </row>
    <row r="1398" spans="1:4">
      <c r="A1398" s="4">
        <v>46323</v>
      </c>
      <c r="B1398" t="s">
        <v>114</v>
      </c>
      <c r="C1398" t="s">
        <v>115</v>
      </c>
      <c r="D1398" s="2">
        <v>4660</v>
      </c>
    </row>
    <row r="1399" spans="1:4">
      <c r="A1399" s="4">
        <v>46324</v>
      </c>
      <c r="B1399" t="s">
        <v>114</v>
      </c>
      <c r="C1399" t="s">
        <v>115</v>
      </c>
      <c r="D1399" s="2">
        <v>4659</v>
      </c>
    </row>
    <row r="1400" spans="1:4">
      <c r="A1400" s="4">
        <v>46325</v>
      </c>
      <c r="B1400" t="s">
        <v>114</v>
      </c>
      <c r="C1400" t="s">
        <v>115</v>
      </c>
      <c r="D1400" s="2">
        <v>4698</v>
      </c>
    </row>
    <row r="1401" spans="1:4">
      <c r="A1401" s="4">
        <v>46326</v>
      </c>
      <c r="B1401" t="s">
        <v>114</v>
      </c>
      <c r="C1401" t="s">
        <v>115</v>
      </c>
      <c r="D1401" s="2">
        <v>4658</v>
      </c>
    </row>
    <row r="1402" spans="1:4">
      <c r="A1402" s="4">
        <v>46327</v>
      </c>
      <c r="B1402" t="s">
        <v>114</v>
      </c>
      <c r="C1402" t="s">
        <v>115</v>
      </c>
      <c r="D1402" s="2">
        <v>4666</v>
      </c>
    </row>
    <row r="1403" spans="1:4">
      <c r="A1403" s="4">
        <v>46328</v>
      </c>
      <c r="B1403" t="s">
        <v>114</v>
      </c>
      <c r="C1403" t="s">
        <v>115</v>
      </c>
      <c r="D1403" s="2">
        <v>4702</v>
      </c>
    </row>
    <row r="1404" spans="1:4">
      <c r="A1404" s="4">
        <v>46329</v>
      </c>
      <c r="B1404" t="s">
        <v>114</v>
      </c>
      <c r="C1404" t="s">
        <v>115</v>
      </c>
      <c r="D1404" s="2">
        <v>4674</v>
      </c>
    </row>
    <row r="1405" spans="1:4">
      <c r="A1405" s="4">
        <v>46330</v>
      </c>
      <c r="B1405" t="s">
        <v>114</v>
      </c>
      <c r="C1405" t="s">
        <v>115</v>
      </c>
      <c r="D1405" s="2">
        <v>4657</v>
      </c>
    </row>
    <row r="1406" spans="1:4">
      <c r="A1406" s="4">
        <v>46331</v>
      </c>
      <c r="B1406" t="s">
        <v>114</v>
      </c>
      <c r="C1406" t="s">
        <v>115</v>
      </c>
      <c r="D1406" s="2">
        <v>4683</v>
      </c>
    </row>
    <row r="1407" spans="1:4">
      <c r="A1407" s="4">
        <v>46332</v>
      </c>
      <c r="B1407" t="s">
        <v>114</v>
      </c>
      <c r="C1407" t="s">
        <v>115</v>
      </c>
      <c r="D1407" s="2">
        <v>4708</v>
      </c>
    </row>
    <row r="1408" spans="1:4">
      <c r="A1408" s="4">
        <v>46333</v>
      </c>
      <c r="B1408" t="s">
        <v>114</v>
      </c>
      <c r="C1408" t="s">
        <v>115</v>
      </c>
      <c r="D1408" s="2">
        <v>4723</v>
      </c>
    </row>
    <row r="1409" spans="1:4">
      <c r="A1409" s="4">
        <v>46334</v>
      </c>
      <c r="B1409" t="s">
        <v>114</v>
      </c>
      <c r="C1409" t="s">
        <v>115</v>
      </c>
      <c r="D1409" s="2">
        <v>4715</v>
      </c>
    </row>
    <row r="1410" spans="1:4">
      <c r="A1410" s="4">
        <v>46335</v>
      </c>
      <c r="B1410" t="s">
        <v>114</v>
      </c>
      <c r="C1410" t="s">
        <v>115</v>
      </c>
      <c r="D1410" s="2">
        <v>4728</v>
      </c>
    </row>
    <row r="1411" spans="1:4">
      <c r="A1411" s="4">
        <v>46336</v>
      </c>
      <c r="B1411" t="s">
        <v>114</v>
      </c>
      <c r="C1411" t="s">
        <v>115</v>
      </c>
      <c r="D1411" s="2">
        <v>4739</v>
      </c>
    </row>
    <row r="1412" spans="1:4">
      <c r="A1412" s="4">
        <v>46337</v>
      </c>
      <c r="B1412" t="s">
        <v>114</v>
      </c>
      <c r="C1412" t="s">
        <v>115</v>
      </c>
      <c r="D1412" s="2">
        <v>4705</v>
      </c>
    </row>
    <row r="1413" spans="1:4">
      <c r="A1413" s="4">
        <v>46338</v>
      </c>
      <c r="B1413" t="s">
        <v>114</v>
      </c>
      <c r="C1413" t="s">
        <v>115</v>
      </c>
      <c r="D1413" s="2">
        <v>4705</v>
      </c>
    </row>
    <row r="1414" spans="1:4">
      <c r="A1414" s="4">
        <v>46339</v>
      </c>
      <c r="B1414" t="s">
        <v>114</v>
      </c>
      <c r="C1414" t="s">
        <v>115</v>
      </c>
      <c r="D1414" s="2">
        <v>4705</v>
      </c>
    </row>
    <row r="1415" spans="1:4">
      <c r="A1415" s="4">
        <v>46340</v>
      </c>
      <c r="B1415" t="s">
        <v>114</v>
      </c>
      <c r="C1415" t="s">
        <v>115</v>
      </c>
      <c r="D1415" s="2">
        <v>4733</v>
      </c>
    </row>
    <row r="1416" spans="1:4">
      <c r="A1416" s="4">
        <v>46341</v>
      </c>
      <c r="B1416" t="s">
        <v>114</v>
      </c>
      <c r="C1416" t="s">
        <v>115</v>
      </c>
      <c r="D1416" s="2">
        <v>4711</v>
      </c>
    </row>
    <row r="1417" spans="1:4">
      <c r="A1417" s="4">
        <v>46342</v>
      </c>
      <c r="B1417" t="s">
        <v>114</v>
      </c>
      <c r="C1417" t="s">
        <v>115</v>
      </c>
      <c r="D1417" s="2">
        <v>4708</v>
      </c>
    </row>
    <row r="1418" spans="1:4">
      <c r="A1418" s="4">
        <v>46343</v>
      </c>
      <c r="B1418" t="s">
        <v>114</v>
      </c>
      <c r="C1418" t="s">
        <v>115</v>
      </c>
      <c r="D1418" s="2">
        <v>4683</v>
      </c>
    </row>
    <row r="1419" spans="1:4">
      <c r="A1419" s="4">
        <v>46344</v>
      </c>
      <c r="B1419" t="s">
        <v>114</v>
      </c>
      <c r="C1419" t="s">
        <v>115</v>
      </c>
      <c r="D1419" s="2">
        <v>4641</v>
      </c>
    </row>
    <row r="1420" spans="1:4">
      <c r="A1420" s="4">
        <v>46345</v>
      </c>
      <c r="B1420" t="s">
        <v>114</v>
      </c>
      <c r="C1420" t="s">
        <v>115</v>
      </c>
      <c r="D1420" s="2">
        <v>4630</v>
      </c>
    </row>
    <row r="1421" spans="1:4">
      <c r="A1421" s="4">
        <v>46346</v>
      </c>
      <c r="B1421" t="s">
        <v>114</v>
      </c>
      <c r="C1421" t="s">
        <v>115</v>
      </c>
      <c r="D1421" s="2">
        <v>4670</v>
      </c>
    </row>
    <row r="1422" spans="1:4">
      <c r="A1422" s="4">
        <v>46347</v>
      </c>
      <c r="B1422" t="s">
        <v>114</v>
      </c>
      <c r="C1422" t="s">
        <v>115</v>
      </c>
      <c r="D1422" s="2">
        <v>4638</v>
      </c>
    </row>
    <row r="1423" spans="1:4">
      <c r="A1423" s="4">
        <v>46348</v>
      </c>
      <c r="B1423" t="s">
        <v>114</v>
      </c>
      <c r="C1423" t="s">
        <v>115</v>
      </c>
      <c r="D1423" s="2">
        <v>4668</v>
      </c>
    </row>
    <row r="1424" spans="1:4">
      <c r="A1424" s="4">
        <v>46349</v>
      </c>
      <c r="B1424" t="s">
        <v>114</v>
      </c>
      <c r="C1424" t="s">
        <v>115</v>
      </c>
      <c r="D1424" s="2">
        <v>4682</v>
      </c>
    </row>
    <row r="1425" spans="1:4">
      <c r="A1425" s="4">
        <v>46350</v>
      </c>
      <c r="B1425" t="s">
        <v>114</v>
      </c>
      <c r="C1425" t="s">
        <v>115</v>
      </c>
      <c r="D1425" s="2">
        <v>4681</v>
      </c>
    </row>
    <row r="1426" spans="1:4">
      <c r="A1426" s="4">
        <v>46351</v>
      </c>
      <c r="B1426" t="s">
        <v>114</v>
      </c>
      <c r="C1426" t="s">
        <v>115</v>
      </c>
      <c r="D1426" s="2">
        <v>4637</v>
      </c>
    </row>
    <row r="1427" spans="1:4">
      <c r="A1427" s="4">
        <v>46352</v>
      </c>
      <c r="B1427" t="s">
        <v>114</v>
      </c>
      <c r="C1427" t="s">
        <v>115</v>
      </c>
      <c r="D1427" s="2">
        <v>4652</v>
      </c>
    </row>
    <row r="1428" spans="1:4">
      <c r="A1428" s="4">
        <v>46353</v>
      </c>
      <c r="B1428" t="s">
        <v>114</v>
      </c>
      <c r="C1428" t="s">
        <v>115</v>
      </c>
      <c r="D1428" s="2">
        <v>4697</v>
      </c>
    </row>
    <row r="1429" spans="1:4">
      <c r="A1429" s="4">
        <v>46354</v>
      </c>
      <c r="B1429" t="s">
        <v>114</v>
      </c>
      <c r="C1429" t="s">
        <v>115</v>
      </c>
      <c r="D1429" s="2">
        <v>4687</v>
      </c>
    </row>
    <row r="1430" spans="1:4">
      <c r="A1430" s="4">
        <v>46355</v>
      </c>
      <c r="B1430" t="s">
        <v>114</v>
      </c>
      <c r="C1430" t="s">
        <v>115</v>
      </c>
      <c r="D1430" s="2">
        <v>4665</v>
      </c>
    </row>
    <row r="1431" spans="1:4">
      <c r="A1431" s="4">
        <v>46356</v>
      </c>
      <c r="B1431" t="s">
        <v>114</v>
      </c>
      <c r="C1431" t="s">
        <v>115</v>
      </c>
      <c r="D1431" s="2">
        <v>4703</v>
      </c>
    </row>
    <row r="1432" spans="1:4">
      <c r="A1432" s="4">
        <v>46357</v>
      </c>
      <c r="B1432" t="s">
        <v>114</v>
      </c>
      <c r="C1432" t="s">
        <v>115</v>
      </c>
      <c r="D1432" s="2">
        <v>4708</v>
      </c>
    </row>
    <row r="1433" spans="1:4">
      <c r="A1433" s="4">
        <v>46358</v>
      </c>
      <c r="B1433" t="s">
        <v>114</v>
      </c>
      <c r="C1433" t="s">
        <v>115</v>
      </c>
      <c r="D1433" s="2">
        <v>4730</v>
      </c>
    </row>
    <row r="1434" spans="1:4">
      <c r="A1434" s="4">
        <v>46359</v>
      </c>
      <c r="B1434" t="s">
        <v>114</v>
      </c>
      <c r="C1434" t="s">
        <v>115</v>
      </c>
      <c r="D1434" s="2">
        <v>4740</v>
      </c>
    </row>
    <row r="1435" spans="1:4">
      <c r="A1435" s="4">
        <v>46360</v>
      </c>
      <c r="B1435" t="s">
        <v>114</v>
      </c>
      <c r="C1435" t="s">
        <v>115</v>
      </c>
      <c r="D1435" s="2">
        <v>4753</v>
      </c>
    </row>
    <row r="1436" spans="1:4">
      <c r="A1436" s="4">
        <v>46361</v>
      </c>
      <c r="B1436" t="s">
        <v>114</v>
      </c>
      <c r="C1436" t="s">
        <v>115</v>
      </c>
      <c r="D1436" s="2">
        <v>4777</v>
      </c>
    </row>
    <row r="1437" spans="1:4">
      <c r="A1437" s="4">
        <v>46362</v>
      </c>
      <c r="B1437" t="s">
        <v>114</v>
      </c>
      <c r="C1437" t="s">
        <v>115</v>
      </c>
      <c r="D1437" s="2">
        <v>4823</v>
      </c>
    </row>
    <row r="1438" spans="1:4">
      <c r="A1438" s="4">
        <v>46363</v>
      </c>
      <c r="B1438" t="s">
        <v>114</v>
      </c>
      <c r="C1438" t="s">
        <v>115</v>
      </c>
      <c r="D1438" s="2">
        <v>4822</v>
      </c>
    </row>
    <row r="1439" spans="1:4">
      <c r="A1439" s="4">
        <v>46364</v>
      </c>
      <c r="B1439" t="s">
        <v>114</v>
      </c>
      <c r="C1439" t="s">
        <v>115</v>
      </c>
      <c r="D1439" s="2">
        <v>4785</v>
      </c>
    </row>
    <row r="1440" spans="1:4">
      <c r="A1440" s="4">
        <v>46365</v>
      </c>
      <c r="B1440" t="s">
        <v>114</v>
      </c>
      <c r="C1440" t="s">
        <v>115</v>
      </c>
      <c r="D1440" s="2">
        <v>4768</v>
      </c>
    </row>
    <row r="1441" spans="1:4">
      <c r="A1441" s="4">
        <v>46366</v>
      </c>
      <c r="B1441" t="s">
        <v>114</v>
      </c>
      <c r="C1441" t="s">
        <v>115</v>
      </c>
      <c r="D1441" s="2">
        <v>4744</v>
      </c>
    </row>
    <row r="1442" spans="1:4">
      <c r="A1442" s="4">
        <v>46367</v>
      </c>
      <c r="B1442" t="s">
        <v>114</v>
      </c>
      <c r="C1442" t="s">
        <v>115</v>
      </c>
      <c r="D1442" s="2">
        <v>4790</v>
      </c>
    </row>
    <row r="1443" spans="1:4">
      <c r="A1443" s="4">
        <v>46368</v>
      </c>
      <c r="B1443" t="s">
        <v>114</v>
      </c>
      <c r="C1443" t="s">
        <v>115</v>
      </c>
      <c r="D1443" s="2">
        <v>4791</v>
      </c>
    </row>
    <row r="1444" spans="1:4">
      <c r="A1444" s="4">
        <v>46369</v>
      </c>
      <c r="B1444" t="s">
        <v>114</v>
      </c>
      <c r="C1444" t="s">
        <v>115</v>
      </c>
      <c r="D1444" s="2">
        <v>4789</v>
      </c>
    </row>
    <row r="1445" spans="1:4">
      <c r="A1445" s="4">
        <v>46370</v>
      </c>
      <c r="B1445" t="s">
        <v>114</v>
      </c>
      <c r="C1445" t="s">
        <v>115</v>
      </c>
      <c r="D1445" s="2">
        <v>4805</v>
      </c>
    </row>
    <row r="1446" spans="1:4">
      <c r="A1446" s="4">
        <v>46371</v>
      </c>
      <c r="B1446" t="s">
        <v>114</v>
      </c>
      <c r="C1446" t="s">
        <v>115</v>
      </c>
      <c r="D1446" s="2">
        <v>4804</v>
      </c>
    </row>
    <row r="1447" spans="1:4">
      <c r="A1447" s="4">
        <v>46372</v>
      </c>
      <c r="B1447" t="s">
        <v>114</v>
      </c>
      <c r="C1447" t="s">
        <v>115</v>
      </c>
      <c r="D1447" s="2">
        <v>4758</v>
      </c>
    </row>
    <row r="1448" spans="1:4">
      <c r="A1448" s="4">
        <v>46373</v>
      </c>
      <c r="B1448" t="s">
        <v>114</v>
      </c>
      <c r="C1448" t="s">
        <v>115</v>
      </c>
      <c r="D1448" s="2">
        <v>4715</v>
      </c>
    </row>
    <row r="1449" spans="1:4">
      <c r="A1449" s="4">
        <v>46374</v>
      </c>
      <c r="B1449" t="s">
        <v>114</v>
      </c>
      <c r="C1449" t="s">
        <v>115</v>
      </c>
      <c r="D1449" s="2">
        <v>4757</v>
      </c>
    </row>
    <row r="1450" spans="1:4">
      <c r="A1450" s="4">
        <v>46375</v>
      </c>
      <c r="B1450" t="s">
        <v>114</v>
      </c>
      <c r="C1450" t="s">
        <v>115</v>
      </c>
      <c r="D1450" s="2">
        <v>4716</v>
      </c>
    </row>
    <row r="1451" spans="1:4">
      <c r="A1451" s="4">
        <v>46376</v>
      </c>
      <c r="B1451" t="s">
        <v>114</v>
      </c>
      <c r="C1451" t="s">
        <v>115</v>
      </c>
      <c r="D1451" s="2">
        <v>4752</v>
      </c>
    </row>
    <row r="1452" spans="1:4">
      <c r="A1452" s="4">
        <v>46377</v>
      </c>
      <c r="B1452" t="s">
        <v>114</v>
      </c>
      <c r="C1452" t="s">
        <v>115</v>
      </c>
      <c r="D1452" s="2">
        <v>4782</v>
      </c>
    </row>
    <row r="1453" spans="1:4">
      <c r="A1453" s="4">
        <v>46378</v>
      </c>
      <c r="B1453" t="s">
        <v>114</v>
      </c>
      <c r="C1453" t="s">
        <v>115</v>
      </c>
      <c r="D1453" s="2">
        <v>4732</v>
      </c>
    </row>
    <row r="1454" spans="1:4">
      <c r="A1454" s="4">
        <v>46379</v>
      </c>
      <c r="B1454" t="s">
        <v>114</v>
      </c>
      <c r="C1454" t="s">
        <v>115</v>
      </c>
      <c r="D1454" s="2">
        <v>4754</v>
      </c>
    </row>
    <row r="1455" spans="1:4">
      <c r="A1455" s="4">
        <v>46380</v>
      </c>
      <c r="B1455" t="s">
        <v>114</v>
      </c>
      <c r="C1455" t="s">
        <v>115</v>
      </c>
      <c r="D1455" s="2">
        <v>4783</v>
      </c>
    </row>
    <row r="1456" spans="1:4">
      <c r="A1456" s="4">
        <v>46381</v>
      </c>
      <c r="B1456" t="s">
        <v>114</v>
      </c>
      <c r="C1456" t="s">
        <v>115</v>
      </c>
      <c r="D1456" s="2">
        <v>4778</v>
      </c>
    </row>
    <row r="1457" spans="1:4">
      <c r="A1457" s="4">
        <v>46382</v>
      </c>
      <c r="B1457" t="s">
        <v>114</v>
      </c>
      <c r="C1457" t="s">
        <v>115</v>
      </c>
      <c r="D1457" s="2">
        <v>4802</v>
      </c>
    </row>
    <row r="1458" spans="1:4">
      <c r="A1458" s="4">
        <v>46383</v>
      </c>
      <c r="B1458" t="s">
        <v>114</v>
      </c>
      <c r="C1458" t="s">
        <v>115</v>
      </c>
      <c r="D1458" s="2">
        <v>4775</v>
      </c>
    </row>
    <row r="1459" spans="1:4">
      <c r="A1459" s="4">
        <v>46384</v>
      </c>
      <c r="B1459" t="s">
        <v>114</v>
      </c>
      <c r="C1459" t="s">
        <v>115</v>
      </c>
      <c r="D1459" s="2">
        <v>4820</v>
      </c>
    </row>
    <row r="1460" spans="1:4">
      <c r="A1460" s="4">
        <v>46385</v>
      </c>
      <c r="B1460" t="s">
        <v>114</v>
      </c>
      <c r="C1460" t="s">
        <v>115</v>
      </c>
      <c r="D1460" s="2">
        <v>4828</v>
      </c>
    </row>
    <row r="1461" spans="1:4">
      <c r="A1461" s="4">
        <v>46386</v>
      </c>
      <c r="B1461" t="s">
        <v>114</v>
      </c>
      <c r="C1461" t="s">
        <v>115</v>
      </c>
      <c r="D1461" s="2">
        <v>4870</v>
      </c>
    </row>
    <row r="1462" spans="1:4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N37"/>
  <sheetViews>
    <sheetView workbookViewId="0">
      <selection sqref="A1:XFD1"/>
    </sheetView>
  </sheetViews>
  <sheetFormatPr baseColWidth="10" defaultColWidth="11.44140625" defaultRowHeight="14.4"/>
  <cols>
    <col min="1" max="4" width="17.33203125" customWidth="1"/>
    <col min="5" max="5" width="17.33203125" style="2" customWidth="1"/>
    <col min="6" max="14" width="17.33203125" customWidth="1"/>
  </cols>
  <sheetData>
    <row r="1" spans="1:14" s="5" customFormat="1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75</v>
      </c>
      <c r="I1" s="5" t="s">
        <v>86</v>
      </c>
      <c r="J1" s="5" t="s">
        <v>431</v>
      </c>
      <c r="K1" s="5" t="s">
        <v>120</v>
      </c>
      <c r="L1" s="5" t="s">
        <v>121</v>
      </c>
      <c r="M1" s="5" t="s">
        <v>122</v>
      </c>
      <c r="N1" s="5" t="s">
        <v>123</v>
      </c>
    </row>
    <row r="2" spans="1:14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t="s">
        <v>143</v>
      </c>
      <c r="I2" t="s">
        <v>154</v>
      </c>
      <c r="J2">
        <f>+D2</f>
        <v>2938429895</v>
      </c>
      <c r="K2" s="9">
        <v>0.04</v>
      </c>
      <c r="L2" s="9">
        <v>0.06</v>
      </c>
      <c r="M2" s="9">
        <v>0.04</v>
      </c>
      <c r="N2" s="9">
        <v>0.06</v>
      </c>
    </row>
    <row r="3" spans="1:14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t="s">
        <v>143</v>
      </c>
      <c r="I3" t="s">
        <v>154</v>
      </c>
      <c r="J3">
        <f t="shared" ref="J3:J17" si="0">+D3</f>
        <v>2938430307</v>
      </c>
      <c r="K3" s="9">
        <v>0.01</v>
      </c>
      <c r="L3" s="9">
        <v>0.08</v>
      </c>
      <c r="M3" s="9">
        <v>0.01</v>
      </c>
      <c r="N3" s="9">
        <v>0.08</v>
      </c>
    </row>
    <row r="4" spans="1:14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t="s">
        <v>143</v>
      </c>
      <c r="I4" t="s">
        <v>154</v>
      </c>
      <c r="J4">
        <f t="shared" si="0"/>
        <v>2938429854</v>
      </c>
      <c r="K4" s="9">
        <v>0.04</v>
      </c>
      <c r="L4" s="9">
        <v>0.06</v>
      </c>
      <c r="M4" s="9">
        <v>0.04</v>
      </c>
      <c r="N4" s="9">
        <v>0.06</v>
      </c>
    </row>
    <row r="5" spans="1:14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t="s">
        <v>143</v>
      </c>
      <c r="I5" t="s">
        <v>154</v>
      </c>
      <c r="J5">
        <f t="shared" si="0"/>
        <v>2940977660</v>
      </c>
      <c r="K5" s="9">
        <v>0.05</v>
      </c>
      <c r="L5" s="9">
        <v>0.05</v>
      </c>
      <c r="M5" s="9">
        <v>0.05</v>
      </c>
      <c r="N5" s="9">
        <v>0.05</v>
      </c>
    </row>
    <row r="6" spans="1:14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t="s">
        <v>143</v>
      </c>
      <c r="I6" t="s">
        <v>154</v>
      </c>
      <c r="J6">
        <f t="shared" si="0"/>
        <v>2938433191</v>
      </c>
      <c r="K6" s="9">
        <v>0.04</v>
      </c>
      <c r="L6" s="9">
        <v>0.04</v>
      </c>
      <c r="M6" s="9">
        <v>0.04</v>
      </c>
      <c r="N6" s="9">
        <v>0.04</v>
      </c>
    </row>
    <row r="7" spans="1:14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t="s">
        <v>143</v>
      </c>
      <c r="I7" t="s">
        <v>154</v>
      </c>
      <c r="J7">
        <f t="shared" si="0"/>
        <v>2938430719</v>
      </c>
      <c r="K7" s="9">
        <v>7.0000000000000007E-2</v>
      </c>
      <c r="L7" s="9">
        <v>0.02</v>
      </c>
      <c r="M7" s="9">
        <v>7.0000000000000007E-2</v>
      </c>
      <c r="N7" s="9">
        <v>0.02</v>
      </c>
    </row>
    <row r="8" spans="1:14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t="s">
        <v>143</v>
      </c>
      <c r="I8" t="s">
        <v>154</v>
      </c>
      <c r="J8">
        <f t="shared" si="0"/>
        <v>2938431543</v>
      </c>
      <c r="K8" s="9">
        <v>0.04</v>
      </c>
      <c r="L8" s="9">
        <v>0.08</v>
      </c>
      <c r="M8" s="9">
        <v>0.04</v>
      </c>
      <c r="N8" s="9">
        <v>0.08</v>
      </c>
    </row>
    <row r="9" spans="1:14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t="s">
        <v>143</v>
      </c>
      <c r="I9" t="s">
        <v>154</v>
      </c>
      <c r="J9">
        <f t="shared" si="0"/>
        <v>2938429483</v>
      </c>
      <c r="K9" s="9">
        <v>0.03</v>
      </c>
      <c r="L9" s="9">
        <v>0.04</v>
      </c>
      <c r="M9" s="9">
        <v>0.03</v>
      </c>
      <c r="N9" s="9">
        <v>0.04</v>
      </c>
    </row>
    <row r="10" spans="1:14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t="s">
        <v>143</v>
      </c>
      <c r="I10" t="s">
        <v>154</v>
      </c>
      <c r="J10">
        <f t="shared" si="0"/>
        <v>2938432779</v>
      </c>
      <c r="K10" s="9">
        <v>0.03</v>
      </c>
      <c r="L10" s="9">
        <v>0.04</v>
      </c>
      <c r="M10" s="9">
        <v>0.03</v>
      </c>
      <c r="N10" s="9">
        <v>0.04</v>
      </c>
    </row>
    <row r="11" spans="1:14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t="s">
        <v>143</v>
      </c>
      <c r="I11" t="s">
        <v>154</v>
      </c>
      <c r="J11">
        <f t="shared" si="0"/>
        <v>2938431955</v>
      </c>
      <c r="K11" s="9">
        <v>3.5499999999999997E-2</v>
      </c>
      <c r="L11" s="9">
        <v>0.04</v>
      </c>
      <c r="M11" s="9">
        <v>3.5499999999999997E-2</v>
      </c>
      <c r="N11" s="9">
        <v>0.04</v>
      </c>
    </row>
    <row r="12" spans="1:14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t="s">
        <v>143</v>
      </c>
      <c r="I12" t="s">
        <v>154</v>
      </c>
      <c r="J12">
        <f t="shared" si="0"/>
        <v>2938434015</v>
      </c>
      <c r="K12" s="9">
        <v>0.05</v>
      </c>
      <c r="L12" s="9">
        <v>0.06</v>
      </c>
      <c r="M12" s="9">
        <v>0.05</v>
      </c>
      <c r="N12" s="9">
        <v>0.06</v>
      </c>
    </row>
    <row r="13" spans="1:14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t="s">
        <v>143</v>
      </c>
      <c r="I13" t="s">
        <v>154</v>
      </c>
      <c r="J13">
        <f t="shared" si="0"/>
        <v>2938434427</v>
      </c>
      <c r="K13" s="9">
        <v>0.05</v>
      </c>
      <c r="L13" s="9">
        <v>0.06</v>
      </c>
      <c r="M13" s="9">
        <v>0.05</v>
      </c>
      <c r="N13" s="9">
        <v>0.06</v>
      </c>
    </row>
    <row r="14" spans="1:14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t="s">
        <v>143</v>
      </c>
      <c r="I14" t="s">
        <v>154</v>
      </c>
      <c r="J14">
        <f t="shared" si="0"/>
        <v>2938431131</v>
      </c>
      <c r="K14" s="9">
        <v>0.06</v>
      </c>
      <c r="L14" s="9">
        <v>0.03</v>
      </c>
      <c r="M14" s="9">
        <v>0.06</v>
      </c>
      <c r="N14" s="9">
        <v>0.03</v>
      </c>
    </row>
    <row r="15" spans="1:14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t="s">
        <v>143</v>
      </c>
      <c r="I15" t="s">
        <v>154</v>
      </c>
      <c r="J15">
        <f t="shared" si="0"/>
        <v>2938433603</v>
      </c>
      <c r="K15" s="9">
        <v>7.0000000000000007E-2</v>
      </c>
      <c r="L15" s="9">
        <v>0.04</v>
      </c>
      <c r="M15" s="9">
        <v>7.0000000000000007E-2</v>
      </c>
      <c r="N15" s="9">
        <v>0.04</v>
      </c>
    </row>
    <row r="16" spans="1:14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t="s">
        <v>143</v>
      </c>
      <c r="I16" t="s">
        <v>154</v>
      </c>
      <c r="J16">
        <f t="shared" si="0"/>
        <v>2938434126</v>
      </c>
      <c r="K16" s="9">
        <v>7.0000000000000007E-2</v>
      </c>
      <c r="L16" s="9">
        <v>0.04</v>
      </c>
      <c r="M16" s="9">
        <v>7.0000000000000007E-2</v>
      </c>
      <c r="N16" s="9">
        <v>0.04</v>
      </c>
    </row>
    <row r="17" spans="1:14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t="s">
        <v>143</v>
      </c>
      <c r="I17" t="s">
        <v>154</v>
      </c>
      <c r="J17">
        <f t="shared" si="0"/>
        <v>9024605326</v>
      </c>
      <c r="K17" s="9">
        <v>0.08</v>
      </c>
      <c r="L17" s="9">
        <v>0.03</v>
      </c>
      <c r="M17" s="9">
        <v>0.08</v>
      </c>
      <c r="N17" s="9">
        <v>0.03</v>
      </c>
    </row>
    <row r="22" spans="1:14">
      <c r="G22" s="7"/>
      <c r="H22" s="7"/>
      <c r="I22" s="7"/>
      <c r="J22" s="7"/>
      <c r="K22" s="3"/>
    </row>
    <row r="23" spans="1:14">
      <c r="G23" s="7"/>
      <c r="H23" s="7"/>
      <c r="I23" s="7"/>
      <c r="J23" s="7"/>
      <c r="K23" s="3"/>
    </row>
    <row r="24" spans="1:14">
      <c r="G24" s="7"/>
      <c r="H24" s="7"/>
      <c r="I24" s="7"/>
      <c r="J24" s="7"/>
      <c r="K24" s="3"/>
    </row>
    <row r="25" spans="1:14">
      <c r="G25" s="7"/>
      <c r="H25" s="7"/>
      <c r="I25" s="7"/>
      <c r="J25" s="7"/>
      <c r="K25" s="3"/>
    </row>
    <row r="26" spans="1:14">
      <c r="G26" s="7"/>
      <c r="H26" s="7"/>
      <c r="I26" s="7"/>
      <c r="J26" s="7"/>
      <c r="K26" s="3"/>
    </row>
    <row r="27" spans="1:14">
      <c r="G27" s="7"/>
      <c r="H27" s="7"/>
      <c r="I27" s="7"/>
      <c r="J27" s="7"/>
      <c r="K27" s="3"/>
    </row>
    <row r="28" spans="1:14">
      <c r="G28" s="7"/>
      <c r="H28" s="7"/>
      <c r="I28" s="7"/>
      <c r="J28" s="7"/>
      <c r="K28" s="3"/>
    </row>
    <row r="29" spans="1:14">
      <c r="G29" s="7"/>
      <c r="H29" s="7"/>
      <c r="I29" s="7"/>
      <c r="J29" s="7"/>
      <c r="K29" s="6"/>
    </row>
    <row r="30" spans="1:14">
      <c r="G30" s="7"/>
      <c r="H30" s="7"/>
      <c r="I30" s="7"/>
      <c r="J30" s="7"/>
      <c r="K30" s="3"/>
    </row>
    <row r="31" spans="1:14">
      <c r="G31" s="7"/>
      <c r="H31" s="7"/>
      <c r="I31" s="7"/>
      <c r="J31" s="7"/>
      <c r="K31" s="6"/>
    </row>
    <row r="32" spans="1:14">
      <c r="G32" s="7"/>
      <c r="H32" s="7"/>
      <c r="I32" s="7"/>
      <c r="J32" s="7"/>
      <c r="K32" s="3"/>
    </row>
    <row r="33" spans="7:11">
      <c r="G33" s="7"/>
      <c r="H33" s="7"/>
      <c r="I33" s="7"/>
      <c r="J33" s="7"/>
      <c r="K33" s="3"/>
    </row>
    <row r="34" spans="7:11">
      <c r="G34" s="7"/>
      <c r="H34" s="7"/>
      <c r="I34" s="7"/>
      <c r="J34" s="7"/>
      <c r="K34" s="6"/>
    </row>
    <row r="35" spans="7:11">
      <c r="G35" s="7"/>
      <c r="H35" s="7"/>
      <c r="I35" s="7"/>
      <c r="J35" s="7"/>
      <c r="K35" s="6"/>
    </row>
    <row r="36" spans="7:11">
      <c r="G36" s="7"/>
      <c r="H36" s="7"/>
      <c r="I36" s="7"/>
      <c r="J36" s="7"/>
      <c r="K36" s="6"/>
    </row>
    <row r="37" spans="7:11">
      <c r="G37" s="7"/>
      <c r="H37" s="7"/>
      <c r="I37" s="7"/>
      <c r="J37" s="7"/>
      <c r="K37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V25"/>
  <sheetViews>
    <sheetView topLeftCell="B1" zoomScale="70" zoomScaleNormal="70" workbookViewId="0">
      <selection activeCell="M19" sqref="M19"/>
    </sheetView>
  </sheetViews>
  <sheetFormatPr baseColWidth="10" defaultColWidth="11.44140625" defaultRowHeight="14.4"/>
  <cols>
    <col min="1" max="1" width="27.33203125" bestFit="1" customWidth="1"/>
    <col min="2" max="2" width="27.109375" bestFit="1" customWidth="1"/>
    <col min="3" max="3" width="12.33203125" bestFit="1" customWidth="1"/>
    <col min="4" max="4" width="13.5546875" bestFit="1" customWidth="1"/>
    <col min="5" max="5" width="22.44140625" bestFit="1" customWidth="1"/>
    <col min="6" max="6" width="12.6640625" style="1" bestFit="1" customWidth="1"/>
    <col min="7" max="7" width="20.6640625" style="1" bestFit="1" customWidth="1"/>
    <col min="8" max="8" width="13.6640625" style="1" bestFit="1" customWidth="1"/>
    <col min="9" max="9" width="13.6640625" style="1" customWidth="1"/>
    <col min="10" max="10" width="16.44140625" style="1" bestFit="1" customWidth="1"/>
    <col min="11" max="11" width="9.44140625" style="1" bestFit="1" customWidth="1"/>
    <col min="12" max="12" width="10.21875" style="3" bestFit="1" customWidth="1"/>
    <col min="13" max="13" width="7.77734375" bestFit="1" customWidth="1"/>
    <col min="14" max="14" width="10.77734375" bestFit="1" customWidth="1"/>
    <col min="15" max="15" width="20.33203125" bestFit="1" customWidth="1"/>
    <col min="16" max="16" width="8" bestFit="1" customWidth="1"/>
    <col min="17" max="17" width="26.6640625" bestFit="1" customWidth="1"/>
    <col min="18" max="18" width="26.33203125" bestFit="1" customWidth="1"/>
    <col min="19" max="19" width="23.77734375" bestFit="1" customWidth="1"/>
    <col min="20" max="20" width="29.6640625" bestFit="1" customWidth="1"/>
    <col min="21" max="21" width="27.33203125" bestFit="1" customWidth="1"/>
    <col min="22" max="22" width="19.33203125" bestFit="1" customWidth="1"/>
  </cols>
  <sheetData>
    <row r="1" spans="1:22" s="5" customFormat="1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431</v>
      </c>
      <c r="H1" s="5" t="s">
        <v>118</v>
      </c>
      <c r="I1" s="5" t="s">
        <v>432</v>
      </c>
      <c r="J1" s="5" t="s">
        <v>119</v>
      </c>
      <c r="K1" s="49" t="s">
        <v>73</v>
      </c>
      <c r="L1" s="49" t="s">
        <v>74</v>
      </c>
      <c r="M1" s="5" t="s">
        <v>85</v>
      </c>
      <c r="N1" s="5" t="s">
        <v>86</v>
      </c>
      <c r="O1" s="5" t="s">
        <v>75</v>
      </c>
      <c r="P1" s="5" t="s">
        <v>134</v>
      </c>
      <c r="Q1" s="5" t="s">
        <v>135</v>
      </c>
      <c r="R1" s="5" t="s">
        <v>136</v>
      </c>
      <c r="S1" s="5" t="s">
        <v>137</v>
      </c>
      <c r="T1" s="5" t="s">
        <v>138</v>
      </c>
      <c r="U1" s="5" t="s">
        <v>139</v>
      </c>
      <c r="V1" s="5" t="s">
        <v>140</v>
      </c>
    </row>
    <row r="2" spans="1:2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>
        <f t="shared" ref="G2:G23" si="0">+F2</f>
        <v>2940977660</v>
      </c>
      <c r="H2" t="s">
        <v>126</v>
      </c>
      <c r="I2" t="str">
        <f>+H2</f>
        <v>DANOS</v>
      </c>
      <c r="J2">
        <v>239524652</v>
      </c>
      <c r="K2" s="7" t="s">
        <v>78</v>
      </c>
      <c r="L2" s="6" t="s">
        <v>99</v>
      </c>
      <c r="M2" t="s">
        <v>91</v>
      </c>
      <c r="N2" t="s">
        <v>142</v>
      </c>
      <c r="O2" t="s">
        <v>143</v>
      </c>
      <c r="P2" t="s">
        <v>115</v>
      </c>
      <c r="Q2" s="4">
        <v>45122</v>
      </c>
      <c r="R2" s="4">
        <v>44941</v>
      </c>
      <c r="S2" s="4">
        <v>45672</v>
      </c>
      <c r="T2" s="4">
        <v>44941</v>
      </c>
      <c r="U2" s="4">
        <v>45672</v>
      </c>
      <c r="V2" s="59">
        <v>1200</v>
      </c>
    </row>
    <row r="3" spans="1:2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>
        <f t="shared" si="0"/>
        <v>9024605326</v>
      </c>
      <c r="H3" t="s">
        <v>126</v>
      </c>
      <c r="I3" t="str">
        <f t="shared" ref="I3:I24" si="1">+H3</f>
        <v>DANOS</v>
      </c>
      <c r="J3">
        <v>920583545</v>
      </c>
      <c r="K3" s="7" t="s">
        <v>78</v>
      </c>
      <c r="L3" s="6" t="s">
        <v>99</v>
      </c>
      <c r="M3" t="s">
        <v>91</v>
      </c>
      <c r="N3" t="s">
        <v>145</v>
      </c>
      <c r="O3" t="s">
        <v>143</v>
      </c>
      <c r="P3" t="s">
        <v>115</v>
      </c>
      <c r="Q3" s="4">
        <v>45474</v>
      </c>
      <c r="R3" s="4">
        <v>44941</v>
      </c>
      <c r="S3" s="4">
        <v>45672</v>
      </c>
      <c r="T3" s="4">
        <v>44941</v>
      </c>
      <c r="U3" s="4">
        <v>45672</v>
      </c>
      <c r="V3" s="59">
        <v>1200</v>
      </c>
    </row>
    <row r="4" spans="1:2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>
        <f t="shared" si="0"/>
        <v>2938433191</v>
      </c>
      <c r="H4" s="10" t="s">
        <v>126</v>
      </c>
      <c r="I4" t="str">
        <f t="shared" si="1"/>
        <v>DANOS</v>
      </c>
      <c r="J4" s="10">
        <v>323423843</v>
      </c>
      <c r="K4" s="11" t="s">
        <v>78</v>
      </c>
      <c r="L4" s="20" t="s">
        <v>79</v>
      </c>
      <c r="M4" s="10" t="s">
        <v>91</v>
      </c>
      <c r="N4" s="10" t="s">
        <v>94</v>
      </c>
      <c r="O4" s="10" t="s">
        <v>80</v>
      </c>
      <c r="P4" s="10" t="s">
        <v>115</v>
      </c>
      <c r="Q4" s="21">
        <v>45321</v>
      </c>
      <c r="R4" s="21">
        <v>45321</v>
      </c>
      <c r="S4" s="21">
        <v>45337</v>
      </c>
      <c r="T4" s="21">
        <v>45321</v>
      </c>
      <c r="U4" s="21">
        <v>45337</v>
      </c>
      <c r="V4" s="60">
        <v>50</v>
      </c>
    </row>
    <row r="5" spans="1:2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>
        <f t="shared" si="0"/>
        <v>2938431543</v>
      </c>
      <c r="H5" t="s">
        <v>127</v>
      </c>
      <c r="I5" t="str">
        <f t="shared" si="1"/>
        <v>HURTO</v>
      </c>
      <c r="J5">
        <v>345675807</v>
      </c>
      <c r="K5" s="7" t="s">
        <v>78</v>
      </c>
      <c r="L5" s="3" t="s">
        <v>79</v>
      </c>
      <c r="M5" t="s">
        <v>91</v>
      </c>
      <c r="N5" t="s">
        <v>145</v>
      </c>
      <c r="O5" t="s">
        <v>143</v>
      </c>
      <c r="P5" t="s">
        <v>115</v>
      </c>
      <c r="Q5" s="4">
        <v>45342</v>
      </c>
      <c r="R5" s="4">
        <v>45306</v>
      </c>
      <c r="S5" s="4">
        <v>45337</v>
      </c>
      <c r="T5" s="4">
        <v>45306</v>
      </c>
      <c r="U5" s="4">
        <v>45337</v>
      </c>
      <c r="V5" s="59">
        <v>100</v>
      </c>
    </row>
    <row r="6" spans="1:2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>
        <f t="shared" si="0"/>
        <v>2938431955</v>
      </c>
      <c r="H6" t="s">
        <v>129</v>
      </c>
      <c r="I6" t="str">
        <f t="shared" si="1"/>
        <v>RC</v>
      </c>
      <c r="J6">
        <v>436737219</v>
      </c>
      <c r="K6" s="7" t="s">
        <v>78</v>
      </c>
      <c r="L6" s="3" t="s">
        <v>79</v>
      </c>
      <c r="M6" t="s">
        <v>91</v>
      </c>
      <c r="N6" t="s">
        <v>145</v>
      </c>
      <c r="O6" t="s">
        <v>143</v>
      </c>
      <c r="P6" t="s">
        <v>115</v>
      </c>
      <c r="Q6" s="4">
        <v>45366</v>
      </c>
      <c r="R6" s="4">
        <v>45306</v>
      </c>
      <c r="S6" s="4">
        <v>45337</v>
      </c>
      <c r="T6" s="4">
        <v>45306</v>
      </c>
      <c r="U6" s="4">
        <v>45337</v>
      </c>
      <c r="V6" s="59">
        <v>100</v>
      </c>
    </row>
    <row r="7" spans="1:22">
      <c r="A7" t="s">
        <v>149</v>
      </c>
      <c r="B7" t="s">
        <v>10</v>
      </c>
      <c r="C7" t="s">
        <v>13</v>
      </c>
      <c r="D7">
        <v>552332523</v>
      </c>
      <c r="E7" s="4">
        <v>45306</v>
      </c>
      <c r="F7">
        <v>2938434015</v>
      </c>
      <c r="G7">
        <f t="shared" si="0"/>
        <v>2938434015</v>
      </c>
      <c r="H7" t="s">
        <v>125</v>
      </c>
      <c r="I7" t="str">
        <f t="shared" si="1"/>
        <v>MEDICINA</v>
      </c>
      <c r="J7">
        <v>552332943</v>
      </c>
      <c r="K7" s="7" t="s">
        <v>81</v>
      </c>
      <c r="L7" s="3" t="s">
        <v>95</v>
      </c>
      <c r="M7" t="s">
        <v>91</v>
      </c>
      <c r="N7" t="s">
        <v>142</v>
      </c>
      <c r="O7" t="s">
        <v>143</v>
      </c>
      <c r="P7" t="s">
        <v>115</v>
      </c>
      <c r="Q7" s="4">
        <v>45306</v>
      </c>
      <c r="R7" s="4">
        <v>45306</v>
      </c>
      <c r="S7" s="4">
        <v>45337</v>
      </c>
      <c r="T7" s="4">
        <v>45306</v>
      </c>
      <c r="U7" s="4">
        <v>45337</v>
      </c>
      <c r="V7" s="59">
        <v>100</v>
      </c>
    </row>
    <row r="8" spans="1:2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2938434427</v>
      </c>
      <c r="G8">
        <f t="shared" si="0"/>
        <v>2938434427</v>
      </c>
      <c r="H8" t="s">
        <v>125</v>
      </c>
      <c r="I8" t="str">
        <f t="shared" si="1"/>
        <v>MEDICINA</v>
      </c>
      <c r="J8">
        <v>552332943</v>
      </c>
      <c r="K8" s="7" t="s">
        <v>81</v>
      </c>
      <c r="L8" s="3" t="s">
        <v>95</v>
      </c>
      <c r="M8" t="s">
        <v>91</v>
      </c>
      <c r="N8" t="s">
        <v>142</v>
      </c>
      <c r="O8" t="s">
        <v>150</v>
      </c>
      <c r="P8" t="s">
        <v>115</v>
      </c>
      <c r="Q8" s="4">
        <v>45327</v>
      </c>
      <c r="R8" s="4">
        <v>45327</v>
      </c>
      <c r="S8" s="4">
        <v>45337</v>
      </c>
      <c r="T8" s="4">
        <v>45327</v>
      </c>
      <c r="U8" s="4">
        <v>45337</v>
      </c>
      <c r="V8" s="59">
        <v>-34.375</v>
      </c>
    </row>
    <row r="9" spans="1:22" s="10" customFormat="1">
      <c r="A9" t="s">
        <v>151</v>
      </c>
      <c r="B9" t="s">
        <v>10</v>
      </c>
      <c r="C9" t="s">
        <v>13</v>
      </c>
      <c r="D9">
        <v>124324092</v>
      </c>
      <c r="E9" s="4">
        <v>45245</v>
      </c>
      <c r="F9">
        <v>2938430307</v>
      </c>
      <c r="G9">
        <f t="shared" si="0"/>
        <v>2938430307</v>
      </c>
      <c r="H9" t="s">
        <v>124</v>
      </c>
      <c r="I9" t="str">
        <f t="shared" si="1"/>
        <v>INVALIDEZ</v>
      </c>
      <c r="J9">
        <v>124324512</v>
      </c>
      <c r="K9" s="7" t="s">
        <v>81</v>
      </c>
      <c r="L9" s="3" t="s">
        <v>95</v>
      </c>
      <c r="M9" t="s">
        <v>96</v>
      </c>
      <c r="N9" t="s">
        <v>142</v>
      </c>
      <c r="O9" t="s">
        <v>143</v>
      </c>
      <c r="P9" t="s">
        <v>115</v>
      </c>
      <c r="Q9" s="4">
        <v>45245</v>
      </c>
      <c r="R9" s="4">
        <v>45306</v>
      </c>
      <c r="S9" s="4">
        <v>45672</v>
      </c>
      <c r="T9" s="4">
        <v>45306</v>
      </c>
      <c r="U9" s="4">
        <v>45672</v>
      </c>
      <c r="V9" s="59">
        <v>1200</v>
      </c>
    </row>
    <row r="10" spans="1:22">
      <c r="A10" t="s">
        <v>152</v>
      </c>
      <c r="B10" t="s">
        <v>10</v>
      </c>
      <c r="C10" t="s">
        <v>13</v>
      </c>
      <c r="D10">
        <v>124324091</v>
      </c>
      <c r="E10" s="4">
        <v>45292</v>
      </c>
      <c r="F10">
        <v>2938429895</v>
      </c>
      <c r="G10">
        <f t="shared" si="0"/>
        <v>2938429895</v>
      </c>
      <c r="H10" t="s">
        <v>124</v>
      </c>
      <c r="I10" t="str">
        <f t="shared" si="1"/>
        <v>INVALIDEZ</v>
      </c>
      <c r="J10">
        <v>124324511</v>
      </c>
      <c r="K10" s="7" t="s">
        <v>81</v>
      </c>
      <c r="L10" s="3" t="s">
        <v>95</v>
      </c>
      <c r="M10" t="s">
        <v>96</v>
      </c>
      <c r="N10" t="s">
        <v>142</v>
      </c>
      <c r="O10" t="s">
        <v>143</v>
      </c>
      <c r="P10" t="s">
        <v>114</v>
      </c>
      <c r="Q10" s="4">
        <v>45292</v>
      </c>
      <c r="R10" s="4">
        <v>45306</v>
      </c>
      <c r="S10" s="4">
        <v>45672</v>
      </c>
      <c r="T10" s="4">
        <v>45306</v>
      </c>
      <c r="U10" s="4">
        <v>45672</v>
      </c>
      <c r="V10" s="59">
        <v>1200</v>
      </c>
    </row>
    <row r="11" spans="1:22">
      <c r="A11" t="s">
        <v>153</v>
      </c>
      <c r="B11" t="s">
        <v>10</v>
      </c>
      <c r="C11" t="s">
        <v>13</v>
      </c>
      <c r="D11">
        <v>421093128</v>
      </c>
      <c r="E11" s="4">
        <v>45383</v>
      </c>
      <c r="F11">
        <v>2938429483</v>
      </c>
      <c r="G11">
        <f t="shared" si="0"/>
        <v>2938429483</v>
      </c>
      <c r="H11" t="s">
        <v>128</v>
      </c>
      <c r="I11" t="str">
        <f t="shared" si="1"/>
        <v>VIDA</v>
      </c>
      <c r="J11">
        <v>421093548</v>
      </c>
      <c r="K11" s="7" t="s">
        <v>81</v>
      </c>
      <c r="L11" s="3" t="s">
        <v>95</v>
      </c>
      <c r="M11" t="s">
        <v>96</v>
      </c>
      <c r="N11" t="s">
        <v>154</v>
      </c>
      <c r="O11" t="s">
        <v>143</v>
      </c>
      <c r="P11" t="s">
        <v>115</v>
      </c>
      <c r="Q11" s="4">
        <v>45383</v>
      </c>
      <c r="R11" s="4">
        <v>45306</v>
      </c>
      <c r="S11" s="4">
        <v>45672</v>
      </c>
      <c r="T11" s="4">
        <v>45306</v>
      </c>
      <c r="U11" s="4">
        <v>45672</v>
      </c>
      <c r="V11" s="59">
        <v>1200</v>
      </c>
    </row>
    <row r="12" spans="1:2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2938432779</v>
      </c>
      <c r="G12">
        <f t="shared" si="0"/>
        <v>2938432779</v>
      </c>
      <c r="H12" t="s">
        <v>128</v>
      </c>
      <c r="I12" t="str">
        <f t="shared" si="1"/>
        <v>VIDA</v>
      </c>
      <c r="J12">
        <v>421093548</v>
      </c>
      <c r="K12" s="7" t="s">
        <v>81</v>
      </c>
      <c r="L12" s="6" t="s">
        <v>95</v>
      </c>
      <c r="M12" t="s">
        <v>96</v>
      </c>
      <c r="N12" t="s">
        <v>154</v>
      </c>
      <c r="O12" t="s">
        <v>150</v>
      </c>
      <c r="P12" t="s">
        <v>115</v>
      </c>
      <c r="Q12" s="4">
        <v>45503</v>
      </c>
      <c r="R12" s="4">
        <v>45503</v>
      </c>
      <c r="S12" s="4">
        <v>45672</v>
      </c>
      <c r="T12" s="4">
        <v>45503</v>
      </c>
      <c r="U12" s="4">
        <v>45672</v>
      </c>
      <c r="V12" s="59">
        <v>-555.85831062670297</v>
      </c>
    </row>
    <row r="13" spans="1:22">
      <c r="A13" t="s">
        <v>155</v>
      </c>
      <c r="B13" t="s">
        <v>10</v>
      </c>
      <c r="C13" t="s">
        <v>13</v>
      </c>
      <c r="D13">
        <v>327843982</v>
      </c>
      <c r="E13" s="4">
        <v>45716</v>
      </c>
      <c r="F13">
        <v>2938430719</v>
      </c>
      <c r="G13">
        <f t="shared" si="0"/>
        <v>2938430719</v>
      </c>
      <c r="H13" t="s">
        <v>124</v>
      </c>
      <c r="I13" t="str">
        <f t="shared" si="1"/>
        <v>INVALIDEZ</v>
      </c>
      <c r="J13">
        <v>327844402</v>
      </c>
      <c r="K13" s="7" t="s">
        <v>81</v>
      </c>
      <c r="L13" s="3" t="s">
        <v>95</v>
      </c>
      <c r="M13" t="s">
        <v>96</v>
      </c>
      <c r="N13" t="s">
        <v>154</v>
      </c>
      <c r="O13" t="s">
        <v>143</v>
      </c>
      <c r="P13" t="s">
        <v>115</v>
      </c>
      <c r="Q13" s="4">
        <v>45716</v>
      </c>
      <c r="R13" s="4">
        <v>45306</v>
      </c>
      <c r="S13" s="4">
        <v>45672</v>
      </c>
      <c r="T13" s="4">
        <v>45306</v>
      </c>
      <c r="U13" s="4">
        <v>45672</v>
      </c>
      <c r="V13" s="59">
        <v>1200</v>
      </c>
    </row>
    <row r="14" spans="1:22" s="10" customFormat="1">
      <c r="A14" t="s">
        <v>156</v>
      </c>
      <c r="B14" t="s">
        <v>10</v>
      </c>
      <c r="C14" t="s">
        <v>13</v>
      </c>
      <c r="D14">
        <v>634535346</v>
      </c>
      <c r="E14" s="4">
        <v>45275</v>
      </c>
      <c r="F14">
        <v>2938431131</v>
      </c>
      <c r="G14">
        <f t="shared" si="0"/>
        <v>2938431131</v>
      </c>
      <c r="H14" t="s">
        <v>130</v>
      </c>
      <c r="I14" t="str">
        <f t="shared" si="1"/>
        <v>AMBULATORIO</v>
      </c>
      <c r="J14">
        <v>634535766</v>
      </c>
      <c r="K14" s="7" t="s">
        <v>81</v>
      </c>
      <c r="L14" s="3" t="s">
        <v>98</v>
      </c>
      <c r="M14" t="s">
        <v>91</v>
      </c>
      <c r="N14" t="s">
        <v>142</v>
      </c>
      <c r="O14" t="s">
        <v>143</v>
      </c>
      <c r="P14" t="s">
        <v>115</v>
      </c>
      <c r="Q14" s="4">
        <v>45275</v>
      </c>
      <c r="R14" s="4">
        <v>45306</v>
      </c>
      <c r="S14" s="4">
        <v>45337</v>
      </c>
      <c r="T14" s="4">
        <v>45306</v>
      </c>
      <c r="U14" s="4">
        <v>45337</v>
      </c>
      <c r="V14" s="59">
        <v>100</v>
      </c>
    </row>
    <row r="15" spans="1:22">
      <c r="A15" t="s">
        <v>151</v>
      </c>
      <c r="B15" t="s">
        <v>10</v>
      </c>
      <c r="C15" t="s">
        <v>13</v>
      </c>
      <c r="D15">
        <v>763894523</v>
      </c>
      <c r="E15" s="4">
        <v>45306</v>
      </c>
      <c r="F15">
        <v>2938433603</v>
      </c>
      <c r="G15">
        <f t="shared" si="0"/>
        <v>2938433603</v>
      </c>
      <c r="H15" t="s">
        <v>131</v>
      </c>
      <c r="I15" t="str">
        <f t="shared" si="1"/>
        <v>HOSPITALARIO</v>
      </c>
      <c r="J15">
        <v>763894943</v>
      </c>
      <c r="K15" s="7" t="s">
        <v>81</v>
      </c>
      <c r="L15" s="6" t="s">
        <v>98</v>
      </c>
      <c r="M15" t="s">
        <v>91</v>
      </c>
      <c r="N15" t="s">
        <v>142</v>
      </c>
      <c r="O15" t="s">
        <v>143</v>
      </c>
      <c r="P15" t="s">
        <v>115</v>
      </c>
      <c r="Q15" s="4">
        <v>45306</v>
      </c>
      <c r="R15" s="4">
        <v>45307</v>
      </c>
      <c r="S15" s="4">
        <v>45672</v>
      </c>
      <c r="T15" s="4">
        <v>45307</v>
      </c>
      <c r="U15" s="4">
        <v>45672</v>
      </c>
      <c r="V15" s="59">
        <v>1000</v>
      </c>
    </row>
    <row r="16" spans="1:22">
      <c r="A16" t="s">
        <v>80</v>
      </c>
      <c r="B16" t="s">
        <v>10</v>
      </c>
      <c r="C16" t="s">
        <v>13</v>
      </c>
      <c r="D16">
        <v>763894523</v>
      </c>
      <c r="E16" s="4">
        <v>45321</v>
      </c>
      <c r="F16">
        <v>2938433603</v>
      </c>
      <c r="G16">
        <f t="shared" si="0"/>
        <v>2938433603</v>
      </c>
      <c r="H16" t="s">
        <v>131</v>
      </c>
      <c r="I16" t="str">
        <f t="shared" si="1"/>
        <v>HOSPITALARIO</v>
      </c>
      <c r="J16">
        <v>763894943</v>
      </c>
      <c r="K16" s="7" t="s">
        <v>81</v>
      </c>
      <c r="L16" s="6" t="s">
        <v>98</v>
      </c>
      <c r="M16" t="s">
        <v>91</v>
      </c>
      <c r="N16" t="s">
        <v>142</v>
      </c>
      <c r="O16" t="s">
        <v>80</v>
      </c>
      <c r="P16" t="s">
        <v>115</v>
      </c>
      <c r="Q16" s="4">
        <v>45321</v>
      </c>
      <c r="R16" s="4">
        <v>45321</v>
      </c>
      <c r="S16" s="4">
        <v>45337</v>
      </c>
      <c r="T16" s="4">
        <v>45321</v>
      </c>
      <c r="U16" s="4">
        <v>45337</v>
      </c>
      <c r="V16" s="59">
        <v>200</v>
      </c>
    </row>
    <row r="17" spans="1:22">
      <c r="A17" s="10" t="s">
        <v>80</v>
      </c>
      <c r="B17" s="10" t="s">
        <v>10</v>
      </c>
      <c r="C17" t="s">
        <v>13</v>
      </c>
      <c r="D17" s="10">
        <v>763894523</v>
      </c>
      <c r="E17" s="4">
        <v>45321</v>
      </c>
      <c r="F17" s="10">
        <v>2938434126</v>
      </c>
      <c r="G17">
        <f t="shared" si="0"/>
        <v>2938434126</v>
      </c>
      <c r="H17" s="10" t="s">
        <v>131</v>
      </c>
      <c r="I17" t="str">
        <f t="shared" si="1"/>
        <v>HOSPITALARIO</v>
      </c>
      <c r="J17" s="10">
        <v>763894943</v>
      </c>
      <c r="K17" s="11" t="s">
        <v>81</v>
      </c>
      <c r="L17" s="23" t="s">
        <v>98</v>
      </c>
      <c r="M17" s="10" t="s">
        <v>91</v>
      </c>
      <c r="N17" s="10" t="s">
        <v>154</v>
      </c>
      <c r="O17" s="10" t="s">
        <v>80</v>
      </c>
      <c r="P17" s="10" t="s">
        <v>115</v>
      </c>
      <c r="Q17" s="21">
        <v>45488</v>
      </c>
      <c r="R17" s="21">
        <v>45488</v>
      </c>
      <c r="S17" s="21">
        <v>45672</v>
      </c>
      <c r="T17" s="21">
        <v>45488</v>
      </c>
      <c r="U17" s="21">
        <v>45672</v>
      </c>
      <c r="V17" s="60">
        <v>50</v>
      </c>
    </row>
    <row r="18" spans="1:22">
      <c r="A18" s="10" t="s">
        <v>157</v>
      </c>
      <c r="B18" s="10" t="s">
        <v>10</v>
      </c>
      <c r="C18" t="s">
        <v>13</v>
      </c>
      <c r="D18" s="10">
        <v>130534534</v>
      </c>
      <c r="E18" s="4">
        <v>45321</v>
      </c>
      <c r="F18" s="10">
        <v>5340312414</v>
      </c>
      <c r="G18">
        <f t="shared" si="0"/>
        <v>5340312414</v>
      </c>
      <c r="H18" s="10" t="s">
        <v>158</v>
      </c>
      <c r="I18" t="str">
        <f t="shared" si="1"/>
        <v>TERREMOTO</v>
      </c>
      <c r="J18" s="10">
        <v>425544224</v>
      </c>
      <c r="K18" s="11" t="s">
        <v>78</v>
      </c>
      <c r="L18" s="23" t="s">
        <v>101</v>
      </c>
      <c r="M18" s="10" t="s">
        <v>91</v>
      </c>
      <c r="N18" s="10" t="s">
        <v>154</v>
      </c>
      <c r="O18" s="10" t="s">
        <v>143</v>
      </c>
      <c r="P18" s="10" t="s">
        <v>115</v>
      </c>
      <c r="Q18" s="4">
        <v>45321</v>
      </c>
      <c r="R18" s="4">
        <v>45321</v>
      </c>
      <c r="S18" s="4">
        <v>45687</v>
      </c>
      <c r="T18" s="4">
        <v>45321</v>
      </c>
      <c r="U18" s="4">
        <v>45687</v>
      </c>
      <c r="V18" s="60">
        <v>1200</v>
      </c>
    </row>
    <row r="19" spans="1:22">
      <c r="A19" t="s">
        <v>38</v>
      </c>
      <c r="B19" t="s">
        <v>38</v>
      </c>
      <c r="C19" t="s">
        <v>13</v>
      </c>
      <c r="D19">
        <v>190358223</v>
      </c>
      <c r="E19" s="4">
        <v>45321</v>
      </c>
      <c r="F19" s="10">
        <v>5920382423</v>
      </c>
      <c r="G19">
        <f t="shared" si="0"/>
        <v>5920382423</v>
      </c>
      <c r="H19" s="1" t="s">
        <v>159</v>
      </c>
      <c r="I19" t="str">
        <f t="shared" si="1"/>
        <v>SCP</v>
      </c>
      <c r="J19" s="10">
        <v>259433432</v>
      </c>
      <c r="K19" s="57" t="s">
        <v>81</v>
      </c>
      <c r="L19" s="6" t="s">
        <v>160</v>
      </c>
      <c r="M19" s="10" t="s">
        <v>91</v>
      </c>
      <c r="N19" s="10" t="s">
        <v>154</v>
      </c>
      <c r="O19" s="10" t="s">
        <v>143</v>
      </c>
      <c r="P19" s="10" t="s">
        <v>115</v>
      </c>
      <c r="Q19" s="4">
        <v>45321</v>
      </c>
      <c r="R19" s="4">
        <v>45321</v>
      </c>
      <c r="S19" s="4">
        <v>45687</v>
      </c>
      <c r="T19" s="4">
        <v>45321</v>
      </c>
      <c r="U19" s="4">
        <v>45687</v>
      </c>
      <c r="V19" s="60">
        <v>1200</v>
      </c>
    </row>
    <row r="20" spans="1:22">
      <c r="B20" t="s">
        <v>10</v>
      </c>
      <c r="C20" t="s">
        <v>13</v>
      </c>
      <c r="D20">
        <v>12004188911</v>
      </c>
      <c r="E20" s="4">
        <v>45684</v>
      </c>
      <c r="F20">
        <v>16346515</v>
      </c>
      <c r="G20">
        <f t="shared" si="0"/>
        <v>16346515</v>
      </c>
      <c r="H20" t="s">
        <v>424</v>
      </c>
      <c r="I20" t="str">
        <f t="shared" si="1"/>
        <v>C01</v>
      </c>
      <c r="J20" s="58">
        <v>1</v>
      </c>
      <c r="K20" s="57" t="s">
        <v>78</v>
      </c>
      <c r="L20" s="6" t="s">
        <v>349</v>
      </c>
      <c r="M20" s="7" t="s">
        <v>425</v>
      </c>
      <c r="N20" t="s">
        <v>423</v>
      </c>
      <c r="O20">
        <v>7</v>
      </c>
      <c r="P20" t="s">
        <v>115</v>
      </c>
      <c r="Q20" s="4">
        <v>45666</v>
      </c>
      <c r="R20" s="4">
        <v>45673</v>
      </c>
      <c r="S20" s="4">
        <v>45679</v>
      </c>
      <c r="T20" s="4">
        <v>45673</v>
      </c>
      <c r="U20" s="4">
        <v>45679</v>
      </c>
      <c r="V20" s="59">
        <v>135742</v>
      </c>
    </row>
    <row r="21" spans="1:22">
      <c r="B21" t="s">
        <v>10</v>
      </c>
      <c r="C21" t="s">
        <v>13</v>
      </c>
      <c r="D21">
        <v>7000015203</v>
      </c>
      <c r="E21" s="4">
        <v>45886</v>
      </c>
      <c r="F21" s="2">
        <v>1000258</v>
      </c>
      <c r="G21">
        <f t="shared" si="0"/>
        <v>1000258</v>
      </c>
      <c r="H21" s="1" t="s">
        <v>426</v>
      </c>
      <c r="I21" t="str">
        <f t="shared" si="1"/>
        <v>AC0</v>
      </c>
      <c r="J21" s="58">
        <v>1</v>
      </c>
      <c r="K21" s="57" t="s">
        <v>78</v>
      </c>
      <c r="L21" s="3" t="s">
        <v>346</v>
      </c>
      <c r="M21" s="7" t="s">
        <v>425</v>
      </c>
      <c r="N21" t="s">
        <v>423</v>
      </c>
      <c r="O21">
        <v>7</v>
      </c>
      <c r="P21" t="s">
        <v>114</v>
      </c>
      <c r="Q21" s="4">
        <v>45679</v>
      </c>
      <c r="R21" s="4">
        <v>45706</v>
      </c>
      <c r="S21" s="4">
        <v>45886</v>
      </c>
      <c r="T21" s="4">
        <v>45706</v>
      </c>
      <c r="U21" s="4">
        <v>45886</v>
      </c>
      <c r="V21" s="59">
        <v>13809</v>
      </c>
    </row>
    <row r="22" spans="1:22">
      <c r="B22" t="s">
        <v>10</v>
      </c>
      <c r="C22" t="s">
        <v>13</v>
      </c>
      <c r="D22">
        <v>7000015201</v>
      </c>
      <c r="E22" s="4">
        <v>45886</v>
      </c>
      <c r="F22" s="2">
        <v>1000256</v>
      </c>
      <c r="G22">
        <f t="shared" si="0"/>
        <v>1000256</v>
      </c>
      <c r="H22" s="1" t="s">
        <v>426</v>
      </c>
      <c r="I22" t="str">
        <f t="shared" si="1"/>
        <v>AC0</v>
      </c>
      <c r="J22" s="2">
        <v>1</v>
      </c>
      <c r="K22" s="57" t="s">
        <v>78</v>
      </c>
      <c r="L22" s="3" t="s">
        <v>346</v>
      </c>
      <c r="M22" s="7" t="s">
        <v>425</v>
      </c>
      <c r="N22" t="s">
        <v>423</v>
      </c>
      <c r="O22">
        <v>7</v>
      </c>
      <c r="P22" t="s">
        <v>114</v>
      </c>
      <c r="Q22" s="4">
        <v>45679</v>
      </c>
      <c r="R22" s="4">
        <v>45706</v>
      </c>
      <c r="S22" s="4">
        <v>45886</v>
      </c>
      <c r="T22" s="4">
        <v>45706</v>
      </c>
      <c r="U22" s="4">
        <v>45886</v>
      </c>
      <c r="V22" s="59">
        <v>15754</v>
      </c>
    </row>
    <row r="23" spans="1:22">
      <c r="B23" t="s">
        <v>10</v>
      </c>
      <c r="C23" t="s">
        <v>13</v>
      </c>
      <c r="D23">
        <v>12004202134</v>
      </c>
      <c r="E23" s="4">
        <v>45687</v>
      </c>
      <c r="F23" s="2">
        <v>16384327</v>
      </c>
      <c r="G23">
        <f t="shared" si="0"/>
        <v>16384327</v>
      </c>
      <c r="H23" s="1" t="s">
        <v>424</v>
      </c>
      <c r="I23" t="str">
        <f t="shared" si="1"/>
        <v>C01</v>
      </c>
      <c r="J23" s="2">
        <v>1</v>
      </c>
      <c r="K23" s="7" t="s">
        <v>78</v>
      </c>
      <c r="L23" s="57" t="s">
        <v>349</v>
      </c>
      <c r="M23" s="3" t="s">
        <v>425</v>
      </c>
      <c r="N23" t="s">
        <v>423</v>
      </c>
      <c r="O23">
        <v>7</v>
      </c>
      <c r="P23" t="s">
        <v>115</v>
      </c>
      <c r="Q23" s="4">
        <v>45688</v>
      </c>
      <c r="R23" s="4">
        <v>45687</v>
      </c>
      <c r="S23" s="4">
        <v>45716</v>
      </c>
      <c r="T23" s="4">
        <v>45687</v>
      </c>
      <c r="U23" s="4">
        <v>45716</v>
      </c>
      <c r="V23" s="59">
        <v>6621000</v>
      </c>
    </row>
    <row r="24" spans="1:22">
      <c r="B24" t="s">
        <v>445</v>
      </c>
      <c r="C24" t="s">
        <v>13</v>
      </c>
      <c r="D24" t="s">
        <v>446</v>
      </c>
      <c r="E24" s="4">
        <v>44733</v>
      </c>
      <c r="F24" s="7" t="s">
        <v>447</v>
      </c>
      <c r="G24" s="7">
        <v>30000005451</v>
      </c>
      <c r="H24" s="1" t="s">
        <v>448</v>
      </c>
      <c r="I24" s="1" t="str">
        <f t="shared" si="1"/>
        <v>RECONSTRUCCION</v>
      </c>
      <c r="J24" s="7" t="s">
        <v>449</v>
      </c>
      <c r="K24" s="7" t="s">
        <v>81</v>
      </c>
      <c r="L24" s="6" t="s">
        <v>342</v>
      </c>
      <c r="M24" s="10" t="s">
        <v>91</v>
      </c>
      <c r="N24" t="s">
        <v>450</v>
      </c>
      <c r="O24" t="s">
        <v>143</v>
      </c>
      <c r="P24" t="s">
        <v>115</v>
      </c>
      <c r="Q24" s="4">
        <f>+E24</f>
        <v>44733</v>
      </c>
      <c r="R24" s="4">
        <f>+Q24</f>
        <v>44733</v>
      </c>
      <c r="S24" s="64">
        <v>48386</v>
      </c>
      <c r="T24" s="4">
        <f>+S24</f>
        <v>48386</v>
      </c>
      <c r="U24" s="64">
        <v>48386</v>
      </c>
      <c r="V24" s="59">
        <v>973931014</v>
      </c>
    </row>
    <row r="25" spans="1:22">
      <c r="D25" s="61"/>
      <c r="M25" s="3"/>
      <c r="Q25" s="4"/>
      <c r="R25" s="4"/>
      <c r="S25" s="4"/>
      <c r="T25" s="4"/>
    </row>
  </sheetData>
  <phoneticPr fontId="2" type="noConversion"/>
  <conditionalFormatting sqref="D1:D23 D25:D1048576">
    <cfRule type="duplicateValues" dxfId="3" priority="1"/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F4D8-2AEA-4913-93D7-B86EA85C5B3E}">
  <dimension ref="A1:W41"/>
  <sheetViews>
    <sheetView zoomScale="57" workbookViewId="0">
      <selection activeCell="U2" sqref="U2:V37"/>
    </sheetView>
  </sheetViews>
  <sheetFormatPr baseColWidth="10" defaultRowHeight="14.4"/>
  <cols>
    <col min="1" max="1" width="13" bestFit="1" customWidth="1"/>
    <col min="2" max="2" width="28.44140625" bestFit="1" customWidth="1"/>
    <col min="3" max="3" width="12.21875" bestFit="1" customWidth="1"/>
    <col min="4" max="4" width="14.6640625" bestFit="1" customWidth="1"/>
    <col min="5" max="5" width="22.44140625" bestFit="1" customWidth="1"/>
    <col min="6" max="6" width="22.109375" bestFit="1" customWidth="1"/>
    <col min="7" max="7" width="13.33203125" bestFit="1" customWidth="1"/>
    <col min="8" max="8" width="23.109375" bestFit="1" customWidth="1"/>
    <col min="9" max="9" width="7.77734375" bestFit="1" customWidth="1"/>
    <col min="10" max="10" width="13" bestFit="1" customWidth="1"/>
    <col min="11" max="11" width="16" bestFit="1" customWidth="1"/>
    <col min="12" max="12" width="9.33203125" bestFit="1" customWidth="1"/>
    <col min="13" max="13" width="10.21875" bestFit="1" customWidth="1"/>
    <col min="14" max="14" width="5.33203125" bestFit="1" customWidth="1"/>
    <col min="15" max="15" width="9" bestFit="1" customWidth="1"/>
    <col min="16" max="16" width="7.77734375" bestFit="1" customWidth="1"/>
    <col min="17" max="17" width="8.21875" bestFit="1" customWidth="1"/>
    <col min="18" max="18" width="25.88671875" bestFit="1" customWidth="1"/>
    <col min="19" max="19" width="25.6640625" bestFit="1" customWidth="1"/>
    <col min="20" max="20" width="23.21875" bestFit="1" customWidth="1"/>
    <col min="21" max="21" width="25.109375" bestFit="1" customWidth="1"/>
    <col min="22" max="22" width="22.77734375" bestFit="1" customWidth="1"/>
    <col min="23" max="23" width="19.21875" bestFit="1" customWidth="1"/>
  </cols>
  <sheetData>
    <row r="1" spans="1:23" s="5" customFormat="1">
      <c r="A1" s="49" t="s">
        <v>132</v>
      </c>
      <c r="B1" s="49" t="s">
        <v>0</v>
      </c>
      <c r="C1" s="49" t="s">
        <v>4</v>
      </c>
      <c r="D1" s="19" t="s">
        <v>116</v>
      </c>
      <c r="E1" s="19" t="s">
        <v>437</v>
      </c>
      <c r="F1" s="49" t="s">
        <v>133</v>
      </c>
      <c r="G1" s="5" t="s">
        <v>15</v>
      </c>
      <c r="H1" s="49" t="s">
        <v>431</v>
      </c>
      <c r="I1" s="5" t="s">
        <v>118</v>
      </c>
      <c r="J1" s="5" t="s">
        <v>432</v>
      </c>
      <c r="K1" s="5" t="s">
        <v>119</v>
      </c>
      <c r="L1" s="5" t="s">
        <v>73</v>
      </c>
      <c r="M1" s="5" t="s">
        <v>74</v>
      </c>
      <c r="N1" s="5" t="s">
        <v>85</v>
      </c>
      <c r="O1" s="5" t="s">
        <v>86</v>
      </c>
      <c r="P1" s="5" t="s">
        <v>75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440</v>
      </c>
      <c r="V1" s="5" t="s">
        <v>194</v>
      </c>
      <c r="W1" s="5" t="s">
        <v>140</v>
      </c>
    </row>
    <row r="2" spans="1:23">
      <c r="B2" t="s">
        <v>433</v>
      </c>
      <c r="C2" t="s">
        <v>13</v>
      </c>
      <c r="D2" t="s">
        <v>444</v>
      </c>
      <c r="E2" s="62"/>
      <c r="F2" s="4">
        <v>45674</v>
      </c>
      <c r="G2" s="2">
        <v>240049166</v>
      </c>
      <c r="H2" s="2">
        <f t="shared" ref="H2:H37" si="0">+G2</f>
        <v>240049166</v>
      </c>
      <c r="I2" t="s">
        <v>435</v>
      </c>
      <c r="J2" t="s">
        <v>436</v>
      </c>
      <c r="K2" s="58" t="s">
        <v>439</v>
      </c>
      <c r="L2" s="57" t="s">
        <v>81</v>
      </c>
      <c r="M2" s="6" t="s">
        <v>371</v>
      </c>
      <c r="N2" s="3" t="s">
        <v>425</v>
      </c>
      <c r="O2" t="s">
        <v>423</v>
      </c>
      <c r="P2" s="7" t="s">
        <v>438</v>
      </c>
      <c r="Q2" t="s">
        <v>115</v>
      </c>
      <c r="R2" s="4">
        <v>45674</v>
      </c>
      <c r="S2" s="4">
        <v>45674</v>
      </c>
      <c r="T2" s="4">
        <v>45705</v>
      </c>
      <c r="U2" s="14">
        <v>45674</v>
      </c>
      <c r="V2" s="14">
        <v>46039</v>
      </c>
      <c r="W2" s="59">
        <v>8649</v>
      </c>
    </row>
    <row r="3" spans="1:23">
      <c r="B3" t="s">
        <v>433</v>
      </c>
      <c r="C3" t="s">
        <v>13</v>
      </c>
      <c r="D3" t="s">
        <v>444</v>
      </c>
      <c r="E3" s="62"/>
      <c r="F3" s="4">
        <v>45674</v>
      </c>
      <c r="G3">
        <v>10069339722</v>
      </c>
      <c r="H3" s="2">
        <f t="shared" si="0"/>
        <v>10069339722</v>
      </c>
      <c r="I3" t="s">
        <v>435</v>
      </c>
      <c r="J3" t="s">
        <v>436</v>
      </c>
      <c r="K3" s="58" t="s">
        <v>439</v>
      </c>
      <c r="L3" s="57" t="s">
        <v>81</v>
      </c>
      <c r="M3" s="6" t="s">
        <v>371</v>
      </c>
      <c r="N3" s="3" t="s">
        <v>425</v>
      </c>
      <c r="O3" t="s">
        <v>423</v>
      </c>
      <c r="P3" s="7" t="s">
        <v>438</v>
      </c>
      <c r="Q3" t="s">
        <v>115</v>
      </c>
      <c r="R3" s="4">
        <v>45695</v>
      </c>
      <c r="S3" s="4">
        <v>45705</v>
      </c>
      <c r="T3" s="4">
        <v>45733</v>
      </c>
      <c r="U3" s="14">
        <v>45674</v>
      </c>
      <c r="V3" s="14">
        <v>46039</v>
      </c>
      <c r="W3" s="59">
        <v>8649</v>
      </c>
    </row>
    <row r="4" spans="1:23">
      <c r="B4" t="s">
        <v>433</v>
      </c>
      <c r="C4" t="s">
        <v>13</v>
      </c>
      <c r="D4" t="s">
        <v>444</v>
      </c>
      <c r="E4" s="63"/>
      <c r="F4" s="21">
        <v>45674</v>
      </c>
      <c r="G4">
        <v>10070577600</v>
      </c>
      <c r="H4" s="2">
        <f t="shared" si="0"/>
        <v>10070577600</v>
      </c>
      <c r="I4" t="s">
        <v>435</v>
      </c>
      <c r="J4" t="s">
        <v>436</v>
      </c>
      <c r="K4" s="58" t="s">
        <v>439</v>
      </c>
      <c r="L4" s="57" t="s">
        <v>81</v>
      </c>
      <c r="M4" s="6" t="s">
        <v>371</v>
      </c>
      <c r="N4" s="3" t="s">
        <v>425</v>
      </c>
      <c r="O4" t="s">
        <v>423</v>
      </c>
      <c r="P4" s="7" t="s">
        <v>438</v>
      </c>
      <c r="Q4" t="s">
        <v>115</v>
      </c>
      <c r="R4" s="21">
        <v>45723</v>
      </c>
      <c r="S4" s="21">
        <v>45733</v>
      </c>
      <c r="T4" s="21">
        <v>45764</v>
      </c>
      <c r="U4" s="14">
        <v>45674</v>
      </c>
      <c r="V4" s="14">
        <v>46039</v>
      </c>
      <c r="W4" s="59">
        <v>8649</v>
      </c>
    </row>
    <row r="5" spans="1:23">
      <c r="B5" t="s">
        <v>433</v>
      </c>
      <c r="C5" t="s">
        <v>13</v>
      </c>
      <c r="D5" t="s">
        <v>444</v>
      </c>
      <c r="E5" s="62"/>
      <c r="F5" s="4">
        <v>45674</v>
      </c>
      <c r="G5">
        <v>10071816461</v>
      </c>
      <c r="H5" s="2">
        <f t="shared" si="0"/>
        <v>10071816461</v>
      </c>
      <c r="I5" t="s">
        <v>435</v>
      </c>
      <c r="J5" t="s">
        <v>436</v>
      </c>
      <c r="K5" s="58" t="s">
        <v>439</v>
      </c>
      <c r="L5" s="57" t="s">
        <v>81</v>
      </c>
      <c r="M5" s="6" t="s">
        <v>371</v>
      </c>
      <c r="N5" s="3" t="s">
        <v>425</v>
      </c>
      <c r="O5" t="s">
        <v>423</v>
      </c>
      <c r="P5" s="7" t="s">
        <v>438</v>
      </c>
      <c r="Q5" t="s">
        <v>115</v>
      </c>
      <c r="R5" s="4">
        <v>45754</v>
      </c>
      <c r="S5" s="4">
        <v>45764</v>
      </c>
      <c r="T5" s="4">
        <v>45794</v>
      </c>
      <c r="U5" s="14">
        <v>45674</v>
      </c>
      <c r="V5" s="14">
        <v>46039</v>
      </c>
      <c r="W5" s="59">
        <v>8649</v>
      </c>
    </row>
    <row r="6" spans="1:23">
      <c r="B6" t="s">
        <v>433</v>
      </c>
      <c r="C6" t="s">
        <v>13</v>
      </c>
      <c r="D6" t="s">
        <v>444</v>
      </c>
      <c r="E6" s="62"/>
      <c r="F6" s="4">
        <v>45674</v>
      </c>
      <c r="G6">
        <v>10073090840</v>
      </c>
      <c r="H6" s="2">
        <f t="shared" si="0"/>
        <v>10073090840</v>
      </c>
      <c r="I6" t="s">
        <v>435</v>
      </c>
      <c r="J6" t="s">
        <v>436</v>
      </c>
      <c r="K6" s="58" t="s">
        <v>439</v>
      </c>
      <c r="L6" s="57" t="s">
        <v>81</v>
      </c>
      <c r="M6" s="6" t="s">
        <v>371</v>
      </c>
      <c r="N6" s="3" t="s">
        <v>425</v>
      </c>
      <c r="O6" t="s">
        <v>423</v>
      </c>
      <c r="P6" s="7" t="s">
        <v>438</v>
      </c>
      <c r="Q6" t="s">
        <v>115</v>
      </c>
      <c r="R6" s="4">
        <v>45784</v>
      </c>
      <c r="S6" s="4">
        <v>45794</v>
      </c>
      <c r="T6" s="4">
        <v>45825</v>
      </c>
      <c r="U6" s="14">
        <v>45674</v>
      </c>
      <c r="V6" s="14">
        <v>46039</v>
      </c>
      <c r="W6" s="59">
        <v>8649</v>
      </c>
    </row>
    <row r="7" spans="1:23">
      <c r="B7" t="s">
        <v>433</v>
      </c>
      <c r="C7" t="s">
        <v>13</v>
      </c>
      <c r="D7" t="s">
        <v>444</v>
      </c>
      <c r="E7" s="62"/>
      <c r="F7" s="4">
        <v>45674</v>
      </c>
      <c r="G7">
        <v>10074559147</v>
      </c>
      <c r="H7" s="2">
        <f t="shared" si="0"/>
        <v>10074559147</v>
      </c>
      <c r="I7" t="s">
        <v>435</v>
      </c>
      <c r="J7" t="s">
        <v>436</v>
      </c>
      <c r="K7" s="58" t="s">
        <v>439</v>
      </c>
      <c r="L7" s="57" t="s">
        <v>81</v>
      </c>
      <c r="M7" s="6" t="s">
        <v>371</v>
      </c>
      <c r="N7" s="3" t="s">
        <v>425</v>
      </c>
      <c r="O7" t="s">
        <v>423</v>
      </c>
      <c r="P7" s="7" t="s">
        <v>438</v>
      </c>
      <c r="Q7" t="s">
        <v>115</v>
      </c>
      <c r="R7" s="4">
        <v>45821</v>
      </c>
      <c r="S7" s="4">
        <v>45825</v>
      </c>
      <c r="T7" s="4">
        <v>45855</v>
      </c>
      <c r="U7" s="14">
        <v>45674</v>
      </c>
      <c r="V7" s="14">
        <v>46039</v>
      </c>
      <c r="W7" s="59">
        <v>8649</v>
      </c>
    </row>
    <row r="8" spans="1:23">
      <c r="B8" t="s">
        <v>433</v>
      </c>
      <c r="C8" t="s">
        <v>13</v>
      </c>
      <c r="D8" t="s">
        <v>444</v>
      </c>
      <c r="E8" s="62"/>
      <c r="F8" s="4">
        <v>45674</v>
      </c>
      <c r="G8">
        <v>10075802915</v>
      </c>
      <c r="H8" s="2">
        <f t="shared" si="0"/>
        <v>10075802915</v>
      </c>
      <c r="I8" t="s">
        <v>435</v>
      </c>
      <c r="J8" t="s">
        <v>436</v>
      </c>
      <c r="K8" s="58" t="s">
        <v>439</v>
      </c>
      <c r="L8" s="57" t="s">
        <v>81</v>
      </c>
      <c r="M8" s="6" t="s">
        <v>371</v>
      </c>
      <c r="N8" s="3" t="s">
        <v>425</v>
      </c>
      <c r="O8" t="s">
        <v>423</v>
      </c>
      <c r="P8" s="7" t="s">
        <v>438</v>
      </c>
      <c r="Q8" t="s">
        <v>115</v>
      </c>
      <c r="R8" s="4">
        <v>45855</v>
      </c>
      <c r="S8" s="4">
        <v>45855</v>
      </c>
      <c r="T8" s="4">
        <v>45886</v>
      </c>
      <c r="U8" s="14">
        <v>45674</v>
      </c>
      <c r="V8" s="14">
        <v>46039</v>
      </c>
      <c r="W8" s="59">
        <v>8649</v>
      </c>
    </row>
    <row r="9" spans="1:23">
      <c r="B9" t="s">
        <v>433</v>
      </c>
      <c r="C9" t="s">
        <v>13</v>
      </c>
      <c r="D9" t="s">
        <v>444</v>
      </c>
      <c r="E9" s="62"/>
      <c r="F9" s="4">
        <v>45674</v>
      </c>
      <c r="G9">
        <v>10076900110</v>
      </c>
      <c r="H9" s="2">
        <f t="shared" si="0"/>
        <v>10076900110</v>
      </c>
      <c r="I9" t="s">
        <v>435</v>
      </c>
      <c r="J9" t="s">
        <v>436</v>
      </c>
      <c r="K9" s="58" t="s">
        <v>439</v>
      </c>
      <c r="L9" s="57" t="s">
        <v>81</v>
      </c>
      <c r="M9" s="6" t="s">
        <v>371</v>
      </c>
      <c r="N9" s="3" t="s">
        <v>425</v>
      </c>
      <c r="O9" t="s">
        <v>423</v>
      </c>
      <c r="P9" s="7" t="s">
        <v>438</v>
      </c>
      <c r="Q9" t="s">
        <v>115</v>
      </c>
      <c r="R9" s="4">
        <v>45876</v>
      </c>
      <c r="S9" s="4">
        <v>45886</v>
      </c>
      <c r="T9" s="4">
        <v>45917</v>
      </c>
      <c r="U9" s="14">
        <v>45674</v>
      </c>
      <c r="V9" s="14">
        <v>46039</v>
      </c>
      <c r="W9" s="59">
        <v>8649</v>
      </c>
    </row>
    <row r="10" spans="1:23">
      <c r="B10" t="s">
        <v>433</v>
      </c>
      <c r="C10" t="s">
        <v>13</v>
      </c>
      <c r="D10" t="s">
        <v>444</v>
      </c>
      <c r="E10" s="62"/>
      <c r="F10" s="4">
        <v>45674</v>
      </c>
      <c r="G10">
        <v>10078158797</v>
      </c>
      <c r="H10" s="2">
        <f t="shared" si="0"/>
        <v>10078158797</v>
      </c>
      <c r="I10" t="s">
        <v>435</v>
      </c>
      <c r="J10" t="s">
        <v>436</v>
      </c>
      <c r="K10" s="58" t="s">
        <v>439</v>
      </c>
      <c r="L10" s="57" t="s">
        <v>81</v>
      </c>
      <c r="M10" s="6" t="s">
        <v>371</v>
      </c>
      <c r="N10" s="3" t="s">
        <v>425</v>
      </c>
      <c r="O10" t="s">
        <v>423</v>
      </c>
      <c r="P10" s="7" t="s">
        <v>438</v>
      </c>
      <c r="Q10" t="s">
        <v>115</v>
      </c>
      <c r="R10" s="4">
        <v>45909</v>
      </c>
      <c r="S10" s="4">
        <v>45917</v>
      </c>
      <c r="T10" s="4">
        <v>45947</v>
      </c>
      <c r="U10" s="14">
        <v>45674</v>
      </c>
      <c r="V10" s="14">
        <v>46039</v>
      </c>
      <c r="W10" s="59">
        <v>8649</v>
      </c>
    </row>
    <row r="11" spans="1:23">
      <c r="B11" t="s">
        <v>433</v>
      </c>
      <c r="C11" t="s">
        <v>13</v>
      </c>
      <c r="D11" t="s">
        <v>444</v>
      </c>
      <c r="E11" s="62"/>
      <c r="F11" s="4">
        <v>45674</v>
      </c>
      <c r="G11">
        <v>10079351799</v>
      </c>
      <c r="H11" s="2">
        <f t="shared" si="0"/>
        <v>10079351799</v>
      </c>
      <c r="I11" t="s">
        <v>435</v>
      </c>
      <c r="J11" t="s">
        <v>436</v>
      </c>
      <c r="K11" s="58" t="s">
        <v>439</v>
      </c>
      <c r="L11" s="57" t="s">
        <v>81</v>
      </c>
      <c r="M11" s="6" t="s">
        <v>371</v>
      </c>
      <c r="N11" s="3" t="s">
        <v>425</v>
      </c>
      <c r="O11" t="s">
        <v>423</v>
      </c>
      <c r="P11" s="7" t="s">
        <v>438</v>
      </c>
      <c r="Q11" t="s">
        <v>115</v>
      </c>
      <c r="R11" s="4">
        <v>45939</v>
      </c>
      <c r="S11" s="4">
        <v>45947</v>
      </c>
      <c r="T11" s="4">
        <v>45978</v>
      </c>
      <c r="U11" s="14">
        <v>45674</v>
      </c>
      <c r="V11" s="14">
        <v>46039</v>
      </c>
      <c r="W11" s="59">
        <v>8649</v>
      </c>
    </row>
    <row r="12" spans="1:23">
      <c r="B12" t="s">
        <v>433</v>
      </c>
      <c r="C12" t="s">
        <v>13</v>
      </c>
      <c r="D12" t="s">
        <v>444</v>
      </c>
      <c r="E12" s="62"/>
      <c r="F12" s="4">
        <v>45674</v>
      </c>
      <c r="G12">
        <v>10080704181</v>
      </c>
      <c r="H12" s="2">
        <f t="shared" si="0"/>
        <v>10080704181</v>
      </c>
      <c r="I12" t="s">
        <v>435</v>
      </c>
      <c r="J12" t="s">
        <v>436</v>
      </c>
      <c r="K12" s="58" t="s">
        <v>439</v>
      </c>
      <c r="L12" s="57" t="s">
        <v>81</v>
      </c>
      <c r="M12" s="6" t="s">
        <v>371</v>
      </c>
      <c r="N12" s="3" t="s">
        <v>425</v>
      </c>
      <c r="O12" t="s">
        <v>423</v>
      </c>
      <c r="P12" s="7" t="s">
        <v>438</v>
      </c>
      <c r="Q12" t="s">
        <v>115</v>
      </c>
      <c r="R12" s="4">
        <v>45968</v>
      </c>
      <c r="S12" s="4">
        <v>45978</v>
      </c>
      <c r="T12" s="4">
        <v>46008</v>
      </c>
      <c r="U12" s="14">
        <v>45674</v>
      </c>
      <c r="V12" s="14">
        <v>46039</v>
      </c>
      <c r="W12" s="59">
        <v>8649</v>
      </c>
    </row>
    <row r="13" spans="1:23">
      <c r="B13" t="s">
        <v>433</v>
      </c>
      <c r="C13" t="s">
        <v>13</v>
      </c>
      <c r="D13" t="s">
        <v>444</v>
      </c>
      <c r="E13" s="62"/>
      <c r="F13" s="4">
        <v>45674</v>
      </c>
      <c r="G13">
        <v>10078158797</v>
      </c>
      <c r="H13" s="2">
        <f t="shared" si="0"/>
        <v>10078158797</v>
      </c>
      <c r="I13" t="s">
        <v>435</v>
      </c>
      <c r="J13" t="s">
        <v>436</v>
      </c>
      <c r="K13" s="58" t="s">
        <v>439</v>
      </c>
      <c r="L13" s="57" t="s">
        <v>81</v>
      </c>
      <c r="M13" s="6" t="s">
        <v>371</v>
      </c>
      <c r="N13" s="3" t="s">
        <v>425</v>
      </c>
      <c r="O13" t="s">
        <v>423</v>
      </c>
      <c r="P13" s="7" t="s">
        <v>443</v>
      </c>
      <c r="Q13" t="s">
        <v>115</v>
      </c>
      <c r="R13" s="4">
        <v>46012</v>
      </c>
      <c r="S13" s="4">
        <v>45917</v>
      </c>
      <c r="T13" s="4">
        <v>45947</v>
      </c>
      <c r="U13" s="14">
        <v>45674</v>
      </c>
      <c r="V13" s="14">
        <v>46039</v>
      </c>
      <c r="W13" s="59">
        <v>-8649</v>
      </c>
    </row>
    <row r="14" spans="1:23">
      <c r="B14" t="s">
        <v>433</v>
      </c>
      <c r="C14" t="s">
        <v>13</v>
      </c>
      <c r="D14" t="s">
        <v>444</v>
      </c>
      <c r="E14" s="62"/>
      <c r="F14" s="4">
        <v>45674</v>
      </c>
      <c r="G14">
        <v>10079351799</v>
      </c>
      <c r="H14" s="2">
        <f t="shared" si="0"/>
        <v>10079351799</v>
      </c>
      <c r="I14" t="s">
        <v>435</v>
      </c>
      <c r="J14" t="s">
        <v>436</v>
      </c>
      <c r="K14" s="58" t="s">
        <v>439</v>
      </c>
      <c r="L14" s="57" t="s">
        <v>81</v>
      </c>
      <c r="M14" s="6" t="s">
        <v>371</v>
      </c>
      <c r="N14" s="3" t="s">
        <v>425</v>
      </c>
      <c r="O14" t="s">
        <v>423</v>
      </c>
      <c r="P14" s="7" t="s">
        <v>443</v>
      </c>
      <c r="Q14" t="s">
        <v>115</v>
      </c>
      <c r="R14" s="4">
        <v>46012</v>
      </c>
      <c r="S14" s="4">
        <v>45947</v>
      </c>
      <c r="T14" s="4">
        <v>45978</v>
      </c>
      <c r="U14" s="14">
        <v>45674</v>
      </c>
      <c r="V14" s="14">
        <v>46039</v>
      </c>
      <c r="W14" s="59">
        <v>-8649</v>
      </c>
    </row>
    <row r="15" spans="1:23">
      <c r="B15" t="s">
        <v>433</v>
      </c>
      <c r="C15" t="s">
        <v>13</v>
      </c>
      <c r="D15" t="s">
        <v>444</v>
      </c>
      <c r="E15" s="62"/>
      <c r="F15" s="4">
        <v>45674</v>
      </c>
      <c r="G15">
        <v>10080704181</v>
      </c>
      <c r="H15" s="2">
        <f t="shared" si="0"/>
        <v>10080704181</v>
      </c>
      <c r="I15" t="s">
        <v>435</v>
      </c>
      <c r="J15" t="s">
        <v>436</v>
      </c>
      <c r="K15" s="58" t="s">
        <v>439</v>
      </c>
      <c r="L15" s="57" t="s">
        <v>81</v>
      </c>
      <c r="M15" s="6" t="s">
        <v>371</v>
      </c>
      <c r="N15" s="3" t="s">
        <v>425</v>
      </c>
      <c r="O15" t="s">
        <v>423</v>
      </c>
      <c r="P15" s="7" t="s">
        <v>443</v>
      </c>
      <c r="Q15" t="s">
        <v>115</v>
      </c>
      <c r="R15" s="4">
        <v>46012</v>
      </c>
      <c r="S15" s="4">
        <v>45978</v>
      </c>
      <c r="T15" s="4">
        <v>46008</v>
      </c>
      <c r="U15" s="14">
        <v>45674</v>
      </c>
      <c r="V15" s="14">
        <v>46039</v>
      </c>
      <c r="W15" s="59">
        <v>-8649</v>
      </c>
    </row>
    <row r="16" spans="1:23">
      <c r="B16" t="s">
        <v>433</v>
      </c>
      <c r="C16" t="s">
        <v>13</v>
      </c>
      <c r="D16" t="s">
        <v>444</v>
      </c>
      <c r="E16" s="62"/>
      <c r="F16" s="4">
        <v>45674</v>
      </c>
      <c r="G16">
        <v>10082172308</v>
      </c>
      <c r="H16" s="2">
        <f t="shared" si="0"/>
        <v>10082172308</v>
      </c>
      <c r="I16" t="s">
        <v>435</v>
      </c>
      <c r="J16" t="s">
        <v>436</v>
      </c>
      <c r="K16" s="58" t="s">
        <v>439</v>
      </c>
      <c r="L16" s="57" t="s">
        <v>81</v>
      </c>
      <c r="M16" s="6" t="s">
        <v>371</v>
      </c>
      <c r="N16" s="3" t="s">
        <v>425</v>
      </c>
      <c r="O16" t="s">
        <v>423</v>
      </c>
      <c r="P16" s="7" t="s">
        <v>438</v>
      </c>
      <c r="Q16" t="s">
        <v>115</v>
      </c>
      <c r="R16" s="4">
        <v>46012</v>
      </c>
      <c r="S16" s="4">
        <v>46008</v>
      </c>
      <c r="T16" s="4">
        <v>46039</v>
      </c>
      <c r="U16" s="14">
        <v>45674</v>
      </c>
      <c r="V16" s="14">
        <v>46039</v>
      </c>
      <c r="W16" s="59">
        <v>8649</v>
      </c>
    </row>
    <row r="17" spans="2:23">
      <c r="B17" t="s">
        <v>433</v>
      </c>
      <c r="C17" t="s">
        <v>13</v>
      </c>
      <c r="D17" t="s">
        <v>444</v>
      </c>
      <c r="E17" s="63"/>
      <c r="F17" s="21">
        <v>45674</v>
      </c>
      <c r="G17">
        <v>10082172308</v>
      </c>
      <c r="H17" s="2">
        <f t="shared" si="0"/>
        <v>10082172308</v>
      </c>
      <c r="I17" t="s">
        <v>435</v>
      </c>
      <c r="J17" t="s">
        <v>436</v>
      </c>
      <c r="K17" s="58" t="s">
        <v>439</v>
      </c>
      <c r="L17" s="57" t="s">
        <v>81</v>
      </c>
      <c r="M17" s="6" t="s">
        <v>371</v>
      </c>
      <c r="N17" s="3" t="s">
        <v>425</v>
      </c>
      <c r="O17" t="s">
        <v>423</v>
      </c>
      <c r="P17" s="7" t="s">
        <v>443</v>
      </c>
      <c r="Q17" t="s">
        <v>115</v>
      </c>
      <c r="R17" s="21">
        <v>46012</v>
      </c>
      <c r="S17" s="21">
        <v>46008</v>
      </c>
      <c r="T17" s="21">
        <v>46039</v>
      </c>
      <c r="U17" s="14">
        <v>45674</v>
      </c>
      <c r="V17" s="14">
        <v>46039</v>
      </c>
      <c r="W17" s="59">
        <v>-8649</v>
      </c>
    </row>
    <row r="18" spans="2:23">
      <c r="B18" t="s">
        <v>433</v>
      </c>
      <c r="C18" t="s">
        <v>13</v>
      </c>
      <c r="D18" t="s">
        <v>442</v>
      </c>
      <c r="E18" s="4">
        <v>45799</v>
      </c>
      <c r="F18" s="4">
        <v>45793</v>
      </c>
      <c r="G18" s="2">
        <v>240564190</v>
      </c>
      <c r="H18" s="2">
        <f t="shared" si="0"/>
        <v>240564190</v>
      </c>
      <c r="I18" t="s">
        <v>435</v>
      </c>
      <c r="J18" t="s">
        <v>436</v>
      </c>
      <c r="K18" s="58" t="s">
        <v>439</v>
      </c>
      <c r="L18" s="57" t="s">
        <v>81</v>
      </c>
      <c r="M18" s="6" t="s">
        <v>371</v>
      </c>
      <c r="N18" s="3" t="s">
        <v>425</v>
      </c>
      <c r="O18" t="s">
        <v>423</v>
      </c>
      <c r="P18" s="7" t="s">
        <v>438</v>
      </c>
      <c r="Q18" t="s">
        <v>115</v>
      </c>
      <c r="R18" s="4">
        <v>45793</v>
      </c>
      <c r="S18" s="4">
        <v>45793</v>
      </c>
      <c r="T18" s="4">
        <v>45824</v>
      </c>
      <c r="U18" s="14">
        <v>45793</v>
      </c>
      <c r="V18" s="14">
        <v>46158</v>
      </c>
      <c r="W18" s="59">
        <v>8649</v>
      </c>
    </row>
    <row r="19" spans="2:23">
      <c r="B19" t="s">
        <v>433</v>
      </c>
      <c r="C19" t="s">
        <v>13</v>
      </c>
      <c r="D19" t="s">
        <v>442</v>
      </c>
      <c r="E19" s="4">
        <v>45799</v>
      </c>
      <c r="F19" s="4">
        <v>45793</v>
      </c>
      <c r="G19">
        <v>10074557764</v>
      </c>
      <c r="H19" s="2">
        <f t="shared" si="0"/>
        <v>10074557764</v>
      </c>
      <c r="I19" t="s">
        <v>435</v>
      </c>
      <c r="J19" t="s">
        <v>436</v>
      </c>
      <c r="K19" s="58" t="s">
        <v>439</v>
      </c>
      <c r="L19" s="57" t="s">
        <v>81</v>
      </c>
      <c r="M19" s="6" t="s">
        <v>371</v>
      </c>
      <c r="N19" s="3" t="s">
        <v>425</v>
      </c>
      <c r="O19" t="s">
        <v>423</v>
      </c>
      <c r="P19" s="7" t="s">
        <v>438</v>
      </c>
      <c r="Q19" t="s">
        <v>115</v>
      </c>
      <c r="R19" s="4">
        <v>45822</v>
      </c>
      <c r="S19" s="4">
        <v>45824</v>
      </c>
      <c r="T19" s="4">
        <v>45854</v>
      </c>
      <c r="U19" s="14">
        <v>45793</v>
      </c>
      <c r="V19" s="14">
        <v>46158</v>
      </c>
      <c r="W19" s="59">
        <v>8649</v>
      </c>
    </row>
    <row r="20" spans="2:23">
      <c r="B20" t="s">
        <v>433</v>
      </c>
      <c r="C20" t="s">
        <v>13</v>
      </c>
      <c r="D20" t="s">
        <v>442</v>
      </c>
      <c r="E20" s="21">
        <v>45799</v>
      </c>
      <c r="F20" s="21">
        <v>45793</v>
      </c>
      <c r="G20">
        <v>10075800761</v>
      </c>
      <c r="H20" s="2">
        <f t="shared" si="0"/>
        <v>10075800761</v>
      </c>
      <c r="I20" t="s">
        <v>435</v>
      </c>
      <c r="J20" t="s">
        <v>436</v>
      </c>
      <c r="K20" s="58" t="s">
        <v>439</v>
      </c>
      <c r="L20" s="57" t="s">
        <v>81</v>
      </c>
      <c r="M20" s="6" t="s">
        <v>371</v>
      </c>
      <c r="N20" s="3" t="s">
        <v>425</v>
      </c>
      <c r="O20" t="s">
        <v>423</v>
      </c>
      <c r="P20" s="7" t="s">
        <v>438</v>
      </c>
      <c r="Q20" t="s">
        <v>115</v>
      </c>
      <c r="R20" s="21">
        <v>45855</v>
      </c>
      <c r="S20" s="21">
        <v>45854</v>
      </c>
      <c r="T20" s="21">
        <v>45885</v>
      </c>
      <c r="U20" s="14">
        <v>45793</v>
      </c>
      <c r="V20" s="14">
        <v>46158</v>
      </c>
      <c r="W20" s="59">
        <v>8649</v>
      </c>
    </row>
    <row r="21" spans="2:23">
      <c r="B21" t="s">
        <v>433</v>
      </c>
      <c r="C21" t="s">
        <v>13</v>
      </c>
      <c r="D21" t="s">
        <v>442</v>
      </c>
      <c r="E21" s="4">
        <v>45799</v>
      </c>
      <c r="F21" s="4">
        <v>45793</v>
      </c>
      <c r="G21">
        <v>10076864615</v>
      </c>
      <c r="H21" s="2">
        <f t="shared" si="0"/>
        <v>10076864615</v>
      </c>
      <c r="I21" t="s">
        <v>435</v>
      </c>
      <c r="J21" t="s">
        <v>436</v>
      </c>
      <c r="K21" s="58" t="s">
        <v>439</v>
      </c>
      <c r="L21" s="57" t="s">
        <v>81</v>
      </c>
      <c r="M21" s="6" t="s">
        <v>371</v>
      </c>
      <c r="N21" s="3" t="s">
        <v>425</v>
      </c>
      <c r="O21" t="s">
        <v>423</v>
      </c>
      <c r="P21" s="7" t="s">
        <v>438</v>
      </c>
      <c r="Q21" t="s">
        <v>115</v>
      </c>
      <c r="R21" s="4">
        <v>45876</v>
      </c>
      <c r="S21" s="4">
        <v>45885</v>
      </c>
      <c r="T21" s="4">
        <v>45916</v>
      </c>
      <c r="U21" s="14">
        <v>45793</v>
      </c>
      <c r="V21" s="14">
        <v>46158</v>
      </c>
      <c r="W21" s="59">
        <v>8649</v>
      </c>
    </row>
    <row r="22" spans="2:23">
      <c r="B22" t="s">
        <v>433</v>
      </c>
      <c r="C22" t="s">
        <v>13</v>
      </c>
      <c r="D22" t="s">
        <v>442</v>
      </c>
      <c r="E22" s="4">
        <v>45799</v>
      </c>
      <c r="F22" s="4">
        <v>45793</v>
      </c>
      <c r="G22">
        <v>10074557764</v>
      </c>
      <c r="H22" s="2">
        <f t="shared" si="0"/>
        <v>10074557764</v>
      </c>
      <c r="I22" t="s">
        <v>435</v>
      </c>
      <c r="J22" t="s">
        <v>436</v>
      </c>
      <c r="K22" s="58" t="s">
        <v>439</v>
      </c>
      <c r="L22" s="57" t="s">
        <v>81</v>
      </c>
      <c r="M22" s="6" t="s">
        <v>371</v>
      </c>
      <c r="N22" s="3" t="s">
        <v>425</v>
      </c>
      <c r="O22" t="s">
        <v>423</v>
      </c>
      <c r="P22" s="7" t="s">
        <v>443</v>
      </c>
      <c r="Q22" t="s">
        <v>115</v>
      </c>
      <c r="R22" s="4">
        <v>45907</v>
      </c>
      <c r="S22" s="4">
        <v>45824</v>
      </c>
      <c r="T22" s="4">
        <v>45854</v>
      </c>
      <c r="U22" s="14">
        <v>45793</v>
      </c>
      <c r="V22" s="14">
        <v>46158</v>
      </c>
      <c r="W22" s="59">
        <v>-8649</v>
      </c>
    </row>
    <row r="23" spans="2:23">
      <c r="B23" t="s">
        <v>433</v>
      </c>
      <c r="C23" t="s">
        <v>13</v>
      </c>
      <c r="D23" t="s">
        <v>442</v>
      </c>
      <c r="E23" s="4">
        <v>45799</v>
      </c>
      <c r="F23" s="4">
        <v>45793</v>
      </c>
      <c r="G23">
        <v>10075800761</v>
      </c>
      <c r="H23" s="2">
        <f t="shared" si="0"/>
        <v>10075800761</v>
      </c>
      <c r="I23" t="s">
        <v>435</v>
      </c>
      <c r="J23" t="s">
        <v>436</v>
      </c>
      <c r="K23" s="58" t="s">
        <v>439</v>
      </c>
      <c r="L23" s="57" t="s">
        <v>81</v>
      </c>
      <c r="M23" s="6" t="s">
        <v>371</v>
      </c>
      <c r="N23" s="3" t="s">
        <v>425</v>
      </c>
      <c r="O23" t="s">
        <v>423</v>
      </c>
      <c r="P23" s="7" t="s">
        <v>443</v>
      </c>
      <c r="Q23" t="s">
        <v>115</v>
      </c>
      <c r="R23" s="4">
        <v>45907</v>
      </c>
      <c r="S23" s="4">
        <v>45854</v>
      </c>
      <c r="T23" s="4">
        <v>45885</v>
      </c>
      <c r="U23" s="14">
        <v>45793</v>
      </c>
      <c r="V23" s="14">
        <v>46158</v>
      </c>
      <c r="W23" s="59">
        <v>-8649</v>
      </c>
    </row>
    <row r="24" spans="2:23">
      <c r="B24" t="s">
        <v>433</v>
      </c>
      <c r="C24" t="s">
        <v>13</v>
      </c>
      <c r="D24" t="s">
        <v>442</v>
      </c>
      <c r="E24" s="4">
        <v>45799</v>
      </c>
      <c r="F24" s="4">
        <v>45793</v>
      </c>
      <c r="G24">
        <v>10076864615</v>
      </c>
      <c r="H24" s="2">
        <f t="shared" si="0"/>
        <v>10076864615</v>
      </c>
      <c r="I24" t="s">
        <v>435</v>
      </c>
      <c r="J24" t="s">
        <v>436</v>
      </c>
      <c r="K24" s="58" t="s">
        <v>439</v>
      </c>
      <c r="L24" s="57" t="s">
        <v>81</v>
      </c>
      <c r="M24" s="6" t="s">
        <v>371</v>
      </c>
      <c r="N24" s="3" t="s">
        <v>425</v>
      </c>
      <c r="O24" t="s">
        <v>423</v>
      </c>
      <c r="P24" s="7" t="s">
        <v>443</v>
      </c>
      <c r="Q24" t="s">
        <v>115</v>
      </c>
      <c r="R24" s="4">
        <v>45907</v>
      </c>
      <c r="S24" s="4">
        <v>45885</v>
      </c>
      <c r="T24" s="4">
        <v>45916</v>
      </c>
      <c r="U24" s="14">
        <v>45793</v>
      </c>
      <c r="V24" s="14">
        <v>46158</v>
      </c>
      <c r="W24" s="59">
        <v>-8649</v>
      </c>
    </row>
    <row r="25" spans="2:23">
      <c r="B25" t="s">
        <v>433</v>
      </c>
      <c r="C25" t="s">
        <v>13</v>
      </c>
      <c r="D25" t="s">
        <v>442</v>
      </c>
      <c r="E25" s="4">
        <v>45799</v>
      </c>
      <c r="F25" s="4">
        <v>45793</v>
      </c>
      <c r="G25">
        <v>241258146</v>
      </c>
      <c r="H25" s="2">
        <f t="shared" si="0"/>
        <v>241258146</v>
      </c>
      <c r="I25" t="s">
        <v>435</v>
      </c>
      <c r="J25" t="s">
        <v>436</v>
      </c>
      <c r="K25" s="58" t="s">
        <v>439</v>
      </c>
      <c r="L25" s="57" t="s">
        <v>81</v>
      </c>
      <c r="M25" s="6" t="s">
        <v>371</v>
      </c>
      <c r="N25" s="3" t="s">
        <v>425</v>
      </c>
      <c r="O25" t="s">
        <v>423</v>
      </c>
      <c r="P25" s="7" t="s">
        <v>438</v>
      </c>
      <c r="Q25" t="s">
        <v>115</v>
      </c>
      <c r="R25" s="4">
        <v>45966</v>
      </c>
      <c r="S25" s="4">
        <v>45824</v>
      </c>
      <c r="T25" s="4">
        <v>45854</v>
      </c>
      <c r="U25" s="14">
        <v>45793</v>
      </c>
      <c r="V25" s="14">
        <v>46158</v>
      </c>
      <c r="W25" s="59">
        <v>8649</v>
      </c>
    </row>
    <row r="26" spans="2:23">
      <c r="B26" t="s">
        <v>433</v>
      </c>
      <c r="C26" t="s">
        <v>13</v>
      </c>
      <c r="D26" t="s">
        <v>442</v>
      </c>
      <c r="E26" s="4">
        <v>45799</v>
      </c>
      <c r="F26" s="4">
        <v>45793</v>
      </c>
      <c r="G26">
        <v>241258147</v>
      </c>
      <c r="H26" s="2">
        <f t="shared" si="0"/>
        <v>241258147</v>
      </c>
      <c r="I26" t="s">
        <v>435</v>
      </c>
      <c r="J26" t="s">
        <v>436</v>
      </c>
      <c r="K26" s="58" t="s">
        <v>439</v>
      </c>
      <c r="L26" s="57" t="s">
        <v>81</v>
      </c>
      <c r="M26" s="6" t="s">
        <v>371</v>
      </c>
      <c r="N26" s="3" t="s">
        <v>425</v>
      </c>
      <c r="O26" t="s">
        <v>423</v>
      </c>
      <c r="P26" s="7" t="s">
        <v>438</v>
      </c>
      <c r="Q26" t="s">
        <v>115</v>
      </c>
      <c r="R26" s="4">
        <v>45966</v>
      </c>
      <c r="S26" s="4">
        <v>45854</v>
      </c>
      <c r="T26" s="4">
        <v>45885</v>
      </c>
      <c r="U26" s="14">
        <v>45793</v>
      </c>
      <c r="V26" s="14">
        <v>46158</v>
      </c>
      <c r="W26" s="59">
        <v>8649</v>
      </c>
    </row>
    <row r="27" spans="2:23">
      <c r="B27" t="s">
        <v>433</v>
      </c>
      <c r="C27" t="s">
        <v>13</v>
      </c>
      <c r="D27" t="s">
        <v>442</v>
      </c>
      <c r="E27" s="4">
        <v>45799</v>
      </c>
      <c r="F27" s="4">
        <v>45793</v>
      </c>
      <c r="G27">
        <v>241258148</v>
      </c>
      <c r="H27" s="2">
        <f t="shared" si="0"/>
        <v>241258148</v>
      </c>
      <c r="I27" t="s">
        <v>435</v>
      </c>
      <c r="J27" t="s">
        <v>436</v>
      </c>
      <c r="K27" s="58" t="s">
        <v>439</v>
      </c>
      <c r="L27" s="57" t="s">
        <v>81</v>
      </c>
      <c r="M27" s="6" t="s">
        <v>371</v>
      </c>
      <c r="N27" s="3" t="s">
        <v>425</v>
      </c>
      <c r="O27" t="s">
        <v>423</v>
      </c>
      <c r="P27" s="7" t="s">
        <v>438</v>
      </c>
      <c r="Q27" t="s">
        <v>115</v>
      </c>
      <c r="R27" s="4">
        <v>45966</v>
      </c>
      <c r="S27" s="4">
        <v>45885</v>
      </c>
      <c r="T27" s="4">
        <v>45916</v>
      </c>
      <c r="U27" s="14">
        <v>45793</v>
      </c>
      <c r="V27" s="14">
        <v>46158</v>
      </c>
      <c r="W27" s="59">
        <v>8649</v>
      </c>
    </row>
    <row r="28" spans="2:23">
      <c r="B28" t="s">
        <v>433</v>
      </c>
      <c r="C28" t="s">
        <v>13</v>
      </c>
      <c r="D28" t="s">
        <v>442</v>
      </c>
      <c r="E28" s="4">
        <v>45799</v>
      </c>
      <c r="F28" s="4">
        <v>45793</v>
      </c>
      <c r="G28">
        <v>241258150</v>
      </c>
      <c r="H28" s="2">
        <f t="shared" si="0"/>
        <v>241258150</v>
      </c>
      <c r="I28" t="s">
        <v>435</v>
      </c>
      <c r="J28" t="s">
        <v>436</v>
      </c>
      <c r="K28" s="58" t="s">
        <v>439</v>
      </c>
      <c r="L28" s="57" t="s">
        <v>81</v>
      </c>
      <c r="M28" s="6" t="s">
        <v>371</v>
      </c>
      <c r="N28" s="3" t="s">
        <v>425</v>
      </c>
      <c r="O28" t="s">
        <v>423</v>
      </c>
      <c r="P28" s="7" t="s">
        <v>438</v>
      </c>
      <c r="Q28" t="s">
        <v>115</v>
      </c>
      <c r="R28" s="4">
        <v>45966</v>
      </c>
      <c r="S28" s="4">
        <v>45916</v>
      </c>
      <c r="T28" s="4">
        <v>45946</v>
      </c>
      <c r="U28" s="14">
        <v>45793</v>
      </c>
      <c r="V28" s="14">
        <v>46158</v>
      </c>
      <c r="W28" s="59">
        <v>8649</v>
      </c>
    </row>
    <row r="29" spans="2:23">
      <c r="B29" t="s">
        <v>433</v>
      </c>
      <c r="C29" t="s">
        <v>13</v>
      </c>
      <c r="D29" t="s">
        <v>442</v>
      </c>
      <c r="E29" s="4">
        <v>45799</v>
      </c>
      <c r="F29" s="4">
        <v>45793</v>
      </c>
      <c r="G29">
        <v>241258152</v>
      </c>
      <c r="H29" s="2">
        <f t="shared" si="0"/>
        <v>241258152</v>
      </c>
      <c r="I29" t="s">
        <v>435</v>
      </c>
      <c r="J29" t="s">
        <v>436</v>
      </c>
      <c r="K29" s="58" t="s">
        <v>439</v>
      </c>
      <c r="L29" s="57" t="s">
        <v>81</v>
      </c>
      <c r="M29" s="6" t="s">
        <v>371</v>
      </c>
      <c r="N29" s="3" t="s">
        <v>425</v>
      </c>
      <c r="O29" t="s">
        <v>423</v>
      </c>
      <c r="P29" s="7" t="s">
        <v>438</v>
      </c>
      <c r="Q29" t="s">
        <v>115</v>
      </c>
      <c r="R29" s="4">
        <v>45966</v>
      </c>
      <c r="S29" s="4">
        <v>45946</v>
      </c>
      <c r="T29" s="4">
        <v>45977</v>
      </c>
      <c r="U29" s="14">
        <v>45793</v>
      </c>
      <c r="V29" s="14">
        <v>46158</v>
      </c>
      <c r="W29" s="59">
        <v>8649</v>
      </c>
    </row>
    <row r="30" spans="2:23">
      <c r="B30" t="s">
        <v>433</v>
      </c>
      <c r="C30" t="s">
        <v>13</v>
      </c>
      <c r="D30" t="s">
        <v>442</v>
      </c>
      <c r="E30" s="4">
        <v>45799</v>
      </c>
      <c r="F30" s="4">
        <v>45793</v>
      </c>
      <c r="G30">
        <v>10080658921</v>
      </c>
      <c r="H30" s="2">
        <f t="shared" si="0"/>
        <v>10080658921</v>
      </c>
      <c r="I30" t="s">
        <v>435</v>
      </c>
      <c r="J30" t="s">
        <v>436</v>
      </c>
      <c r="K30" s="58" t="s">
        <v>439</v>
      </c>
      <c r="L30" s="57" t="s">
        <v>81</v>
      </c>
      <c r="M30" s="6" t="s">
        <v>371</v>
      </c>
      <c r="N30" s="3" t="s">
        <v>425</v>
      </c>
      <c r="O30" t="s">
        <v>423</v>
      </c>
      <c r="P30" s="7" t="s">
        <v>438</v>
      </c>
      <c r="Q30" t="s">
        <v>115</v>
      </c>
      <c r="R30" s="4">
        <v>45967</v>
      </c>
      <c r="S30" s="4">
        <v>45977</v>
      </c>
      <c r="T30" s="4">
        <v>46007</v>
      </c>
      <c r="U30" s="14">
        <v>45793</v>
      </c>
      <c r="V30" s="14">
        <v>46158</v>
      </c>
      <c r="W30" s="59">
        <v>8649</v>
      </c>
    </row>
    <row r="31" spans="2:23">
      <c r="B31" t="s">
        <v>433</v>
      </c>
      <c r="C31" t="s">
        <v>13</v>
      </c>
      <c r="D31" t="s">
        <v>442</v>
      </c>
      <c r="E31" s="4">
        <v>45799</v>
      </c>
      <c r="F31" s="4">
        <v>45793</v>
      </c>
      <c r="G31">
        <v>241258146</v>
      </c>
      <c r="H31" s="2">
        <f t="shared" si="0"/>
        <v>241258146</v>
      </c>
      <c r="I31" t="s">
        <v>435</v>
      </c>
      <c r="J31" t="s">
        <v>436</v>
      </c>
      <c r="K31" s="58" t="s">
        <v>439</v>
      </c>
      <c r="L31" s="57" t="s">
        <v>81</v>
      </c>
      <c r="M31" s="6" t="s">
        <v>371</v>
      </c>
      <c r="N31" s="3" t="s">
        <v>425</v>
      </c>
      <c r="O31" t="s">
        <v>423</v>
      </c>
      <c r="P31" s="7" t="s">
        <v>443</v>
      </c>
      <c r="Q31" t="s">
        <v>115</v>
      </c>
      <c r="R31" s="4">
        <v>45974</v>
      </c>
      <c r="S31" s="4">
        <v>45824</v>
      </c>
      <c r="T31" s="4">
        <v>45854</v>
      </c>
      <c r="U31" s="14">
        <v>45793</v>
      </c>
      <c r="V31" s="14">
        <v>46158</v>
      </c>
      <c r="W31" s="59">
        <v>-8649</v>
      </c>
    </row>
    <row r="32" spans="2:23">
      <c r="B32" t="s">
        <v>433</v>
      </c>
      <c r="C32" t="s">
        <v>13</v>
      </c>
      <c r="D32" t="s">
        <v>442</v>
      </c>
      <c r="E32" s="4">
        <v>45799</v>
      </c>
      <c r="F32" s="4">
        <v>45793</v>
      </c>
      <c r="G32">
        <v>241258147</v>
      </c>
      <c r="H32" s="2">
        <f t="shared" si="0"/>
        <v>241258147</v>
      </c>
      <c r="I32" t="s">
        <v>435</v>
      </c>
      <c r="J32" t="s">
        <v>436</v>
      </c>
      <c r="K32" s="58" t="s">
        <v>439</v>
      </c>
      <c r="L32" s="57" t="s">
        <v>81</v>
      </c>
      <c r="M32" s="6" t="s">
        <v>371</v>
      </c>
      <c r="N32" s="3" t="s">
        <v>425</v>
      </c>
      <c r="O32" t="s">
        <v>423</v>
      </c>
      <c r="P32" s="7" t="s">
        <v>443</v>
      </c>
      <c r="Q32" t="s">
        <v>115</v>
      </c>
      <c r="R32" s="4">
        <v>45974</v>
      </c>
      <c r="S32" s="4">
        <v>45854</v>
      </c>
      <c r="T32" s="4">
        <v>45885</v>
      </c>
      <c r="U32" s="14">
        <v>45793</v>
      </c>
      <c r="V32" s="14">
        <v>46158</v>
      </c>
      <c r="W32" s="59">
        <v>-8649</v>
      </c>
    </row>
    <row r="33" spans="2:23">
      <c r="B33" t="s">
        <v>433</v>
      </c>
      <c r="C33" t="s">
        <v>13</v>
      </c>
      <c r="D33" t="s">
        <v>442</v>
      </c>
      <c r="E33" s="21">
        <v>45799</v>
      </c>
      <c r="F33" s="21">
        <v>45793</v>
      </c>
      <c r="G33">
        <v>241258148</v>
      </c>
      <c r="H33" s="2">
        <f t="shared" si="0"/>
        <v>241258148</v>
      </c>
      <c r="I33" t="s">
        <v>435</v>
      </c>
      <c r="J33" t="s">
        <v>436</v>
      </c>
      <c r="K33" s="58" t="s">
        <v>439</v>
      </c>
      <c r="L33" s="57" t="s">
        <v>81</v>
      </c>
      <c r="M33" s="6" t="s">
        <v>371</v>
      </c>
      <c r="N33" s="3" t="s">
        <v>425</v>
      </c>
      <c r="O33" t="s">
        <v>423</v>
      </c>
      <c r="P33" s="7" t="s">
        <v>443</v>
      </c>
      <c r="Q33" t="s">
        <v>115</v>
      </c>
      <c r="R33" s="21">
        <v>45974</v>
      </c>
      <c r="S33" s="21">
        <v>45885</v>
      </c>
      <c r="T33" s="21">
        <v>45916</v>
      </c>
      <c r="U33" s="14">
        <v>45793</v>
      </c>
      <c r="V33" s="14">
        <v>46158</v>
      </c>
      <c r="W33" s="59">
        <v>-8649</v>
      </c>
    </row>
    <row r="34" spans="2:23">
      <c r="B34" t="s">
        <v>433</v>
      </c>
      <c r="C34" t="s">
        <v>13</v>
      </c>
      <c r="D34" t="s">
        <v>442</v>
      </c>
      <c r="E34" s="4">
        <v>45799</v>
      </c>
      <c r="F34" s="4">
        <v>45793</v>
      </c>
      <c r="G34">
        <v>241258150</v>
      </c>
      <c r="H34" s="2">
        <f t="shared" si="0"/>
        <v>241258150</v>
      </c>
      <c r="I34" t="s">
        <v>435</v>
      </c>
      <c r="J34" t="s">
        <v>436</v>
      </c>
      <c r="K34" s="58" t="s">
        <v>439</v>
      </c>
      <c r="L34" s="57" t="s">
        <v>81</v>
      </c>
      <c r="M34" s="6" t="s">
        <v>371</v>
      </c>
      <c r="N34" s="3" t="s">
        <v>425</v>
      </c>
      <c r="O34" t="s">
        <v>423</v>
      </c>
      <c r="P34" s="7" t="s">
        <v>443</v>
      </c>
      <c r="Q34" t="s">
        <v>115</v>
      </c>
      <c r="R34" s="4">
        <v>45974</v>
      </c>
      <c r="S34" s="4">
        <v>45916</v>
      </c>
      <c r="T34" s="4">
        <v>45946</v>
      </c>
      <c r="U34" s="14">
        <v>45793</v>
      </c>
      <c r="V34" s="14">
        <v>46158</v>
      </c>
      <c r="W34" s="59">
        <v>-8649</v>
      </c>
    </row>
    <row r="35" spans="2:23">
      <c r="B35" t="s">
        <v>433</v>
      </c>
      <c r="C35" t="s">
        <v>13</v>
      </c>
      <c r="D35" t="s">
        <v>442</v>
      </c>
      <c r="E35" s="4">
        <v>45799</v>
      </c>
      <c r="F35" s="4">
        <v>45793</v>
      </c>
      <c r="G35">
        <v>241258152</v>
      </c>
      <c r="H35" s="2">
        <f t="shared" si="0"/>
        <v>241258152</v>
      </c>
      <c r="I35" t="s">
        <v>435</v>
      </c>
      <c r="J35" t="s">
        <v>436</v>
      </c>
      <c r="K35" s="58" t="s">
        <v>439</v>
      </c>
      <c r="L35" s="57" t="s">
        <v>81</v>
      </c>
      <c r="M35" s="6" t="s">
        <v>371</v>
      </c>
      <c r="N35" s="3" t="s">
        <v>425</v>
      </c>
      <c r="O35" t="s">
        <v>423</v>
      </c>
      <c r="P35" s="7" t="s">
        <v>443</v>
      </c>
      <c r="Q35" t="s">
        <v>115</v>
      </c>
      <c r="R35" s="4">
        <v>45974</v>
      </c>
      <c r="S35" s="4">
        <v>45946</v>
      </c>
      <c r="T35" s="4">
        <v>45977</v>
      </c>
      <c r="U35" s="14">
        <v>45793</v>
      </c>
      <c r="V35" s="14">
        <v>46158</v>
      </c>
      <c r="W35" s="59">
        <v>-8649</v>
      </c>
    </row>
    <row r="36" spans="2:23">
      <c r="B36" t="s">
        <v>433</v>
      </c>
      <c r="C36" t="s">
        <v>13</v>
      </c>
      <c r="D36" t="s">
        <v>442</v>
      </c>
      <c r="E36" s="4">
        <v>45799</v>
      </c>
      <c r="F36" s="4">
        <v>45793</v>
      </c>
      <c r="G36">
        <v>241286786</v>
      </c>
      <c r="H36" s="2">
        <f t="shared" si="0"/>
        <v>241286786</v>
      </c>
      <c r="I36" t="s">
        <v>435</v>
      </c>
      <c r="J36" t="s">
        <v>436</v>
      </c>
      <c r="K36" s="58" t="s">
        <v>439</v>
      </c>
      <c r="L36" s="57" t="s">
        <v>81</v>
      </c>
      <c r="M36" s="6" t="s">
        <v>371</v>
      </c>
      <c r="N36" s="3" t="s">
        <v>425</v>
      </c>
      <c r="O36" t="s">
        <v>423</v>
      </c>
      <c r="P36" s="7" t="s">
        <v>438</v>
      </c>
      <c r="Q36" t="s">
        <v>115</v>
      </c>
      <c r="R36" s="4">
        <v>45974</v>
      </c>
      <c r="S36" s="4">
        <v>45974</v>
      </c>
      <c r="T36" s="4">
        <v>46158</v>
      </c>
      <c r="U36" s="14">
        <v>45793</v>
      </c>
      <c r="V36" s="14">
        <v>46158</v>
      </c>
      <c r="W36" s="59">
        <v>51894</v>
      </c>
    </row>
    <row r="37" spans="2:23">
      <c r="B37" t="s">
        <v>433</v>
      </c>
      <c r="C37" t="s">
        <v>13</v>
      </c>
      <c r="D37" t="s">
        <v>442</v>
      </c>
      <c r="E37" s="4">
        <v>45799</v>
      </c>
      <c r="F37" s="4">
        <v>45793</v>
      </c>
      <c r="G37">
        <v>10080658921</v>
      </c>
      <c r="H37" s="2">
        <f t="shared" si="0"/>
        <v>10080658921</v>
      </c>
      <c r="I37" t="s">
        <v>435</v>
      </c>
      <c r="J37" t="s">
        <v>436</v>
      </c>
      <c r="K37" s="58" t="s">
        <v>439</v>
      </c>
      <c r="L37" s="57" t="s">
        <v>81</v>
      </c>
      <c r="M37" s="6" t="s">
        <v>371</v>
      </c>
      <c r="N37" s="3" t="s">
        <v>425</v>
      </c>
      <c r="O37" t="s">
        <v>423</v>
      </c>
      <c r="P37" s="7" t="s">
        <v>443</v>
      </c>
      <c r="Q37" t="s">
        <v>115</v>
      </c>
      <c r="R37" s="4">
        <v>45974</v>
      </c>
      <c r="S37" s="4">
        <v>45977</v>
      </c>
      <c r="T37" s="4">
        <v>46007</v>
      </c>
      <c r="U37" s="14">
        <v>45793</v>
      </c>
      <c r="V37" s="14">
        <v>46158</v>
      </c>
      <c r="W37" s="59">
        <v>-8649</v>
      </c>
    </row>
    <row r="38" spans="2:23">
      <c r="E38" s="4"/>
      <c r="F38" s="4"/>
      <c r="H38" s="2"/>
      <c r="K38" s="58"/>
      <c r="L38" s="57"/>
      <c r="M38" s="6"/>
      <c r="N38" s="3"/>
      <c r="R38" s="4"/>
      <c r="S38" s="4"/>
      <c r="T38" s="4"/>
      <c r="U38" s="14"/>
      <c r="V38" s="14"/>
      <c r="W38" s="59"/>
    </row>
    <row r="39" spans="2:23">
      <c r="E39" s="4"/>
      <c r="F39" s="4"/>
      <c r="H39" s="2"/>
      <c r="K39" s="58"/>
      <c r="L39" s="57"/>
      <c r="M39" s="6"/>
      <c r="N39" s="3"/>
      <c r="P39" s="7"/>
      <c r="R39" s="4"/>
      <c r="S39" s="4"/>
      <c r="T39" s="4"/>
      <c r="U39" s="14"/>
      <c r="V39" s="14"/>
      <c r="W39" s="59"/>
    </row>
    <row r="40" spans="2:23">
      <c r="E40" s="4"/>
      <c r="F40" s="4"/>
      <c r="H40" s="2"/>
      <c r="K40" s="58"/>
      <c r="L40" s="57"/>
      <c r="M40" s="6"/>
      <c r="N40" s="3"/>
      <c r="P40" s="7"/>
      <c r="R40" s="4"/>
      <c r="S40" s="4"/>
      <c r="T40" s="4"/>
      <c r="U40" s="14"/>
      <c r="V40" s="14"/>
      <c r="W40" s="59"/>
    </row>
    <row r="41" spans="2:23">
      <c r="E41" s="4"/>
      <c r="F41" s="4"/>
      <c r="H41" s="2"/>
      <c r="K41" s="58"/>
      <c r="L41" s="57"/>
      <c r="M41" s="6"/>
      <c r="N41" s="3"/>
      <c r="P41" s="7"/>
      <c r="R41" s="4"/>
      <c r="S41" s="4"/>
      <c r="T41" s="4"/>
      <c r="U41" s="14"/>
      <c r="V41" s="14"/>
      <c r="W41" s="59"/>
    </row>
  </sheetData>
  <autoFilter ref="A1:W37" xr:uid="{C91DF4D8-2AEA-4913-93D7-B86EA85C5B3E}">
    <sortState xmlns:xlrd2="http://schemas.microsoft.com/office/spreadsheetml/2017/richdata2" ref="A2:W37">
      <sortCondition ref="D1:D37"/>
    </sortState>
  </autoFilter>
  <conditionalFormatting sqref="D2">
    <cfRule type="duplicateValues" dxfId="2" priority="2"/>
  </conditionalFormatting>
  <conditionalFormatting sqref="D1:E1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D11"/>
  <sheetViews>
    <sheetView zoomScale="125" zoomScaleNormal="109" workbookViewId="0">
      <selection activeCell="A12" sqref="A12"/>
    </sheetView>
  </sheetViews>
  <sheetFormatPr baseColWidth="10" defaultColWidth="11.44140625" defaultRowHeight="14.4"/>
  <cols>
    <col min="1" max="1" width="25.21875" bestFit="1" customWidth="1"/>
    <col min="2" max="7" width="25.21875" customWidth="1"/>
    <col min="8" max="8" width="12.21875" bestFit="1" customWidth="1"/>
    <col min="9" max="9" width="12.21875" style="14" customWidth="1"/>
    <col min="10" max="10" width="18.77734375" style="24" customWidth="1"/>
    <col min="11" max="11" width="21.33203125" style="24" bestFit="1" customWidth="1"/>
    <col min="12" max="13" width="24.77734375" style="1" bestFit="1" customWidth="1"/>
    <col min="14" max="14" width="12.44140625" style="1" bestFit="1" customWidth="1"/>
    <col min="15" max="15" width="12.44140625" style="1" customWidth="1"/>
    <col min="16" max="16" width="17.44140625" style="1" bestFit="1" customWidth="1"/>
    <col min="17" max="17" width="11.21875" style="1" bestFit="1" customWidth="1"/>
    <col min="18" max="18" width="11.44140625" style="3" bestFit="1" customWidth="1"/>
    <col min="19" max="19" width="11.44140625" bestFit="1" customWidth="1"/>
    <col min="20" max="20" width="10.77734375" bestFit="1" customWidth="1"/>
    <col min="21" max="21" width="19.21875" bestFit="1" customWidth="1"/>
    <col min="22" max="22" width="10" bestFit="1" customWidth="1"/>
    <col min="23" max="23" width="14.44140625" customWidth="1"/>
    <col min="24" max="24" width="29.44140625" bestFit="1" customWidth="1"/>
    <col min="25" max="25" width="26.44140625" bestFit="1" customWidth="1"/>
    <col min="26" max="26" width="32.44140625" bestFit="1" customWidth="1"/>
    <col min="27" max="27" width="30" bestFit="1" customWidth="1"/>
    <col min="28" max="28" width="8.21875" bestFit="1" customWidth="1"/>
    <col min="29" max="29" width="16.44140625" bestFit="1" customWidth="1"/>
    <col min="30" max="30" width="11.44140625" style="13"/>
  </cols>
  <sheetData>
    <row r="1" spans="1:30" s="5" customFormat="1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116</v>
      </c>
      <c r="I1" s="15" t="s">
        <v>133</v>
      </c>
      <c r="J1" s="50" t="s">
        <v>15</v>
      </c>
      <c r="K1" s="50" t="s">
        <v>431</v>
      </c>
      <c r="L1" s="5" t="s">
        <v>165</v>
      </c>
      <c r="M1" s="5" t="s">
        <v>166</v>
      </c>
      <c r="N1" s="5" t="s">
        <v>118</v>
      </c>
      <c r="O1" s="5" t="s">
        <v>432</v>
      </c>
      <c r="P1" s="5" t="s">
        <v>119</v>
      </c>
      <c r="Q1" s="49" t="s">
        <v>73</v>
      </c>
      <c r="R1" s="49" t="s">
        <v>74</v>
      </c>
      <c r="S1" s="5" t="s">
        <v>85</v>
      </c>
      <c r="T1" s="5" t="s">
        <v>86</v>
      </c>
      <c r="U1" s="5" t="s">
        <v>75</v>
      </c>
      <c r="V1" s="5" t="s">
        <v>134</v>
      </c>
      <c r="W1" s="5" t="s">
        <v>135</v>
      </c>
      <c r="X1" s="5" t="s">
        <v>136</v>
      </c>
      <c r="Y1" s="5" t="s">
        <v>137</v>
      </c>
      <c r="Z1" s="5" t="s">
        <v>138</v>
      </c>
      <c r="AA1" s="5" t="s">
        <v>139</v>
      </c>
      <c r="AB1" s="5" t="s">
        <v>140</v>
      </c>
      <c r="AC1" s="5" t="s">
        <v>167</v>
      </c>
      <c r="AD1" s="51" t="s">
        <v>168</v>
      </c>
    </row>
    <row r="2" spans="1:30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124324091</v>
      </c>
      <c r="I2" s="14">
        <f>+VLOOKUP(H2,produccion_directo!$D$2:$E$18,2,FALSE)</f>
        <v>45292</v>
      </c>
      <c r="J2" s="24">
        <v>293842989501</v>
      </c>
      <c r="K2" s="24">
        <f>+J2</f>
        <v>293842989501</v>
      </c>
      <c r="L2" s="14">
        <v>45108</v>
      </c>
      <c r="M2" s="14">
        <v>45473</v>
      </c>
      <c r="N2" t="s">
        <v>124</v>
      </c>
      <c r="O2" t="str">
        <f>+N2</f>
        <v>INVALIDEZ</v>
      </c>
      <c r="P2">
        <v>124324511</v>
      </c>
      <c r="Q2" s="7" t="s">
        <v>81</v>
      </c>
      <c r="R2" s="3" t="s">
        <v>95</v>
      </c>
      <c r="S2" t="s">
        <v>96</v>
      </c>
      <c r="T2" t="s">
        <v>142</v>
      </c>
      <c r="U2" t="s">
        <v>143</v>
      </c>
      <c r="V2" t="s">
        <v>114</v>
      </c>
      <c r="W2" s="4">
        <v>45292</v>
      </c>
      <c r="X2" s="4">
        <v>45306</v>
      </c>
      <c r="Y2" s="4">
        <v>45672</v>
      </c>
      <c r="Z2" s="4">
        <v>45306</v>
      </c>
      <c r="AA2" s="4">
        <v>45672</v>
      </c>
      <c r="AB2" s="2">
        <v>1200</v>
      </c>
      <c r="AC2">
        <v>600</v>
      </c>
      <c r="AD2" s="13">
        <v>0.5</v>
      </c>
    </row>
    <row r="3" spans="1:30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124324091</v>
      </c>
      <c r="I3" s="14">
        <f>+VLOOKUP(H3,produccion_directo!$D$2:$E$18,2,FALSE)</f>
        <v>45292</v>
      </c>
      <c r="J3" s="24">
        <v>293842989501</v>
      </c>
      <c r="K3" s="24">
        <f t="shared" ref="K3:K11" si="0">+J3</f>
        <v>293842989501</v>
      </c>
      <c r="L3" s="14">
        <v>45108</v>
      </c>
      <c r="M3" s="14">
        <v>45473</v>
      </c>
      <c r="N3" t="s">
        <v>124</v>
      </c>
      <c r="O3" t="str">
        <f t="shared" ref="O3:O11" si="1">+N3</f>
        <v>INVALIDEZ</v>
      </c>
      <c r="P3">
        <v>124324511</v>
      </c>
      <c r="Q3" s="7" t="s">
        <v>81</v>
      </c>
      <c r="R3" s="3" t="s">
        <v>95</v>
      </c>
      <c r="S3" t="s">
        <v>96</v>
      </c>
      <c r="T3" t="s">
        <v>142</v>
      </c>
      <c r="U3" t="s">
        <v>143</v>
      </c>
      <c r="V3" t="s">
        <v>114</v>
      </c>
      <c r="W3" s="4">
        <v>45292</v>
      </c>
      <c r="X3" s="4">
        <v>45306</v>
      </c>
      <c r="Y3" s="4">
        <v>45672</v>
      </c>
      <c r="Z3" s="4">
        <v>45306</v>
      </c>
      <c r="AA3" s="4">
        <v>45672</v>
      </c>
      <c r="AB3" s="2">
        <v>1200</v>
      </c>
      <c r="AC3">
        <v>600</v>
      </c>
      <c r="AD3" s="13">
        <v>0.5</v>
      </c>
    </row>
    <row r="4" spans="1:30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124324091</v>
      </c>
      <c r="I4" s="14">
        <f>+VLOOKUP(H4,produccion_directo!$D$2:$E$18,2,FALSE)</f>
        <v>45292</v>
      </c>
      <c r="J4" s="24">
        <v>293842989501</v>
      </c>
      <c r="K4" s="24">
        <f t="shared" si="0"/>
        <v>293842989501</v>
      </c>
      <c r="L4" s="14">
        <v>45108</v>
      </c>
      <c r="M4" s="14">
        <v>45473</v>
      </c>
      <c r="N4" t="s">
        <v>124</v>
      </c>
      <c r="O4" t="str">
        <f t="shared" si="1"/>
        <v>INVALIDEZ</v>
      </c>
      <c r="P4">
        <v>124324511</v>
      </c>
      <c r="Q4" s="7" t="s">
        <v>81</v>
      </c>
      <c r="R4" s="3" t="s">
        <v>95</v>
      </c>
      <c r="S4" t="s">
        <v>96</v>
      </c>
      <c r="T4" t="s">
        <v>142</v>
      </c>
      <c r="U4" t="s">
        <v>143</v>
      </c>
      <c r="V4" t="s">
        <v>114</v>
      </c>
      <c r="W4" s="4">
        <v>45292</v>
      </c>
      <c r="X4" s="4">
        <v>45306</v>
      </c>
      <c r="Y4" s="4">
        <v>45672</v>
      </c>
      <c r="Z4" s="4">
        <v>45306</v>
      </c>
      <c r="AA4" s="4">
        <v>45672</v>
      </c>
      <c r="AB4" s="2">
        <v>1200</v>
      </c>
      <c r="AC4">
        <v>600</v>
      </c>
      <c r="AD4" s="13">
        <v>0.5</v>
      </c>
    </row>
    <row r="5" spans="1:30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124324092</v>
      </c>
      <c r="I5" s="14">
        <f>+VLOOKUP(H5,produccion_directo!$D$2:$E$18,2,FALSE)</f>
        <v>45245</v>
      </c>
      <c r="J5" s="24">
        <v>293843030701</v>
      </c>
      <c r="K5" s="24">
        <f t="shared" si="0"/>
        <v>293843030701</v>
      </c>
      <c r="L5" s="14">
        <v>45108</v>
      </c>
      <c r="M5" s="14">
        <v>45473</v>
      </c>
      <c r="N5" t="s">
        <v>124</v>
      </c>
      <c r="O5" t="str">
        <f t="shared" si="1"/>
        <v>INVALIDEZ</v>
      </c>
      <c r="P5">
        <v>124324512</v>
      </c>
      <c r="Q5" s="7" t="s">
        <v>81</v>
      </c>
      <c r="R5" s="3" t="s">
        <v>95</v>
      </c>
      <c r="S5" t="s">
        <v>96</v>
      </c>
      <c r="T5" t="s">
        <v>142</v>
      </c>
      <c r="U5" t="s">
        <v>143</v>
      </c>
      <c r="V5" t="s">
        <v>115</v>
      </c>
      <c r="W5" s="4">
        <v>45245</v>
      </c>
      <c r="X5" s="4">
        <v>45306</v>
      </c>
      <c r="Y5" s="4">
        <v>45672</v>
      </c>
      <c r="Z5" s="4">
        <v>45306</v>
      </c>
      <c r="AA5" s="4">
        <v>45672</v>
      </c>
      <c r="AB5" s="2">
        <v>1200</v>
      </c>
      <c r="AC5">
        <v>600</v>
      </c>
      <c r="AD5" s="13">
        <v>0.5</v>
      </c>
    </row>
    <row r="6" spans="1:30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124324092</v>
      </c>
      <c r="I6" s="14">
        <f>+VLOOKUP(H6,produccion_directo!$D$2:$E$18,2,FALSE)</f>
        <v>45245</v>
      </c>
      <c r="J6" s="24">
        <v>293843030701</v>
      </c>
      <c r="K6" s="24">
        <f t="shared" si="0"/>
        <v>293843030701</v>
      </c>
      <c r="L6" s="14">
        <v>45108</v>
      </c>
      <c r="M6" s="14">
        <v>45473</v>
      </c>
      <c r="N6" t="s">
        <v>124</v>
      </c>
      <c r="O6" t="str">
        <f t="shared" si="1"/>
        <v>INVALIDEZ</v>
      </c>
      <c r="P6">
        <v>124324512</v>
      </c>
      <c r="Q6" s="7" t="s">
        <v>81</v>
      </c>
      <c r="R6" s="3" t="s">
        <v>95</v>
      </c>
      <c r="S6" t="s">
        <v>96</v>
      </c>
      <c r="T6" t="s">
        <v>142</v>
      </c>
      <c r="U6" t="s">
        <v>143</v>
      </c>
      <c r="V6" t="s">
        <v>115</v>
      </c>
      <c r="W6" s="4">
        <v>45245</v>
      </c>
      <c r="X6" s="4">
        <v>45306</v>
      </c>
      <c r="Y6" s="4">
        <v>45672</v>
      </c>
      <c r="Z6" s="4">
        <v>45306</v>
      </c>
      <c r="AA6" s="4">
        <v>45672</v>
      </c>
      <c r="AB6" s="2">
        <v>1200</v>
      </c>
      <c r="AC6">
        <v>600</v>
      </c>
      <c r="AD6" s="13">
        <v>0.5</v>
      </c>
    </row>
    <row r="7" spans="1:30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124324092</v>
      </c>
      <c r="I7" s="14">
        <f>+VLOOKUP(H7,produccion_directo!$D$2:$E$18,2,FALSE)</f>
        <v>45245</v>
      </c>
      <c r="J7" s="24">
        <v>293843030701</v>
      </c>
      <c r="K7" s="24">
        <f t="shared" si="0"/>
        <v>293843030701</v>
      </c>
      <c r="L7" s="14">
        <v>45108</v>
      </c>
      <c r="M7" s="14">
        <v>45473</v>
      </c>
      <c r="N7" t="s">
        <v>124</v>
      </c>
      <c r="O7" t="str">
        <f t="shared" si="1"/>
        <v>INVALIDEZ</v>
      </c>
      <c r="P7">
        <v>124324512</v>
      </c>
      <c r="Q7" s="7" t="s">
        <v>81</v>
      </c>
      <c r="R7" s="3" t="s">
        <v>95</v>
      </c>
      <c r="S7" t="s">
        <v>96</v>
      </c>
      <c r="T7" s="5" t="s">
        <v>142</v>
      </c>
      <c r="U7" t="s">
        <v>143</v>
      </c>
      <c r="V7" t="s">
        <v>115</v>
      </c>
      <c r="W7" s="4">
        <v>45245</v>
      </c>
      <c r="X7" s="4">
        <v>45306</v>
      </c>
      <c r="Y7" s="4">
        <v>45672</v>
      </c>
      <c r="Z7" s="4">
        <v>45306</v>
      </c>
      <c r="AA7" s="4">
        <v>45672</v>
      </c>
      <c r="AB7" s="2">
        <v>1200</v>
      </c>
      <c r="AC7">
        <v>600</v>
      </c>
      <c r="AD7" s="13">
        <v>0.5</v>
      </c>
    </row>
    <row r="8" spans="1:30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170</v>
      </c>
      <c r="G8">
        <v>1</v>
      </c>
      <c r="H8">
        <v>634535346</v>
      </c>
      <c r="I8" s="14">
        <f>+VLOOKUP(H8,produccion_directo!$D$2:$E$18,2,FALSE)</f>
        <v>45275</v>
      </c>
      <c r="J8" s="24">
        <v>293843113101</v>
      </c>
      <c r="K8" s="24">
        <f t="shared" si="0"/>
        <v>293843113101</v>
      </c>
      <c r="L8" s="14">
        <v>45108</v>
      </c>
      <c r="M8" s="14">
        <v>45473</v>
      </c>
      <c r="N8" t="s">
        <v>130</v>
      </c>
      <c r="O8" t="str">
        <f t="shared" si="1"/>
        <v>AMBULATORIO</v>
      </c>
      <c r="P8">
        <v>634535766</v>
      </c>
      <c r="Q8" s="7" t="s">
        <v>81</v>
      </c>
      <c r="R8" s="3" t="s">
        <v>98</v>
      </c>
      <c r="S8" t="s">
        <v>91</v>
      </c>
      <c r="T8" t="s">
        <v>142</v>
      </c>
      <c r="U8" t="s">
        <v>143</v>
      </c>
      <c r="V8" t="s">
        <v>115</v>
      </c>
      <c r="W8" s="4">
        <v>45275</v>
      </c>
      <c r="X8" s="4">
        <v>45306</v>
      </c>
      <c r="Y8" s="4">
        <v>45337</v>
      </c>
      <c r="Z8" s="4">
        <v>45306</v>
      </c>
      <c r="AA8" s="4">
        <v>45337</v>
      </c>
      <c r="AB8" s="2">
        <v>100</v>
      </c>
      <c r="AC8">
        <v>30</v>
      </c>
      <c r="AD8" s="13">
        <v>0.3</v>
      </c>
    </row>
    <row r="9" spans="1:30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170</v>
      </c>
      <c r="G9">
        <v>0.5</v>
      </c>
      <c r="H9">
        <v>345675387</v>
      </c>
      <c r="I9" s="14">
        <f>+VLOOKUP(H9,produccion_directo!$D$2:$E$18,2,FALSE)</f>
        <v>45342</v>
      </c>
      <c r="J9" s="24">
        <v>293843154301</v>
      </c>
      <c r="K9" s="24">
        <f t="shared" si="0"/>
        <v>293843154301</v>
      </c>
      <c r="L9" s="14">
        <v>45292</v>
      </c>
      <c r="M9" s="14">
        <v>45657</v>
      </c>
      <c r="N9" t="s">
        <v>127</v>
      </c>
      <c r="O9" t="str">
        <f t="shared" si="1"/>
        <v>HURTO</v>
      </c>
      <c r="P9">
        <v>345675807</v>
      </c>
      <c r="Q9" s="7" t="s">
        <v>78</v>
      </c>
      <c r="R9" s="3" t="s">
        <v>79</v>
      </c>
      <c r="S9" t="s">
        <v>91</v>
      </c>
      <c r="T9" t="s">
        <v>145</v>
      </c>
      <c r="U9" t="s">
        <v>143</v>
      </c>
      <c r="V9" t="s">
        <v>115</v>
      </c>
      <c r="W9" s="4">
        <v>45342</v>
      </c>
      <c r="X9" s="4">
        <v>45306</v>
      </c>
      <c r="Y9" s="4">
        <v>45337</v>
      </c>
      <c r="Z9" s="4">
        <v>45306</v>
      </c>
      <c r="AA9" s="4">
        <v>45337</v>
      </c>
      <c r="AB9" s="2">
        <v>100</v>
      </c>
      <c r="AC9">
        <v>60</v>
      </c>
      <c r="AD9" s="13">
        <v>0.6</v>
      </c>
    </row>
    <row r="10" spans="1:30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169</v>
      </c>
      <c r="G10">
        <v>0.5</v>
      </c>
      <c r="H10">
        <v>345675387</v>
      </c>
      <c r="I10" s="14">
        <f>+VLOOKUP(H10,produccion_directo!$D$2:$E$18,2,FALSE)</f>
        <v>45342</v>
      </c>
      <c r="J10" s="24">
        <v>293843154301</v>
      </c>
      <c r="K10" s="24">
        <f t="shared" si="0"/>
        <v>293843154301</v>
      </c>
      <c r="L10" s="14">
        <v>45292</v>
      </c>
      <c r="M10" s="14">
        <v>45657</v>
      </c>
      <c r="N10" t="s">
        <v>127</v>
      </c>
      <c r="O10" t="str">
        <f t="shared" si="1"/>
        <v>HURTO</v>
      </c>
      <c r="P10">
        <v>345675807</v>
      </c>
      <c r="Q10" s="7" t="s">
        <v>78</v>
      </c>
      <c r="R10" s="3" t="s">
        <v>79</v>
      </c>
      <c r="S10" t="s">
        <v>91</v>
      </c>
      <c r="T10" t="s">
        <v>145</v>
      </c>
      <c r="U10" t="s">
        <v>143</v>
      </c>
      <c r="V10" t="s">
        <v>115</v>
      </c>
      <c r="W10" s="4">
        <v>45342</v>
      </c>
      <c r="X10" s="4">
        <v>45306</v>
      </c>
      <c r="Y10" s="4">
        <v>45337</v>
      </c>
      <c r="Z10" s="4">
        <v>45306</v>
      </c>
      <c r="AA10" s="4">
        <v>45337</v>
      </c>
      <c r="AB10" s="2">
        <v>100</v>
      </c>
      <c r="AC10">
        <v>60</v>
      </c>
      <c r="AD10" s="13">
        <v>0.6</v>
      </c>
    </row>
    <row r="11" spans="1:30">
      <c r="A11" t="s">
        <v>171</v>
      </c>
      <c r="B11" t="s">
        <v>70</v>
      </c>
      <c r="C11">
        <v>4233</v>
      </c>
      <c r="D11" t="s">
        <v>47</v>
      </c>
      <c r="E11">
        <v>3295423</v>
      </c>
      <c r="F11" t="s">
        <v>169</v>
      </c>
      <c r="G11">
        <v>1</v>
      </c>
      <c r="H11">
        <v>190358223</v>
      </c>
      <c r="I11" s="14">
        <v>45321</v>
      </c>
      <c r="J11" s="24">
        <v>293843151242</v>
      </c>
      <c r="K11" s="24">
        <f t="shared" si="0"/>
        <v>293843151242</v>
      </c>
      <c r="L11" s="14">
        <v>45108</v>
      </c>
      <c r="M11" s="14">
        <v>45473</v>
      </c>
      <c r="N11" t="s">
        <v>159</v>
      </c>
      <c r="O11" t="str">
        <f t="shared" si="1"/>
        <v>SCP</v>
      </c>
      <c r="P11" s="10">
        <v>259433432</v>
      </c>
      <c r="Q11" s="7" t="s">
        <v>81</v>
      </c>
      <c r="R11" s="6" t="s">
        <v>160</v>
      </c>
      <c r="S11" t="s">
        <v>91</v>
      </c>
      <c r="T11" t="s">
        <v>154</v>
      </c>
      <c r="U11" t="s">
        <v>143</v>
      </c>
      <c r="V11" t="s">
        <v>115</v>
      </c>
      <c r="W11" s="4">
        <v>45245</v>
      </c>
      <c r="X11" s="4">
        <v>45306</v>
      </c>
      <c r="Y11" s="4">
        <v>45672</v>
      </c>
      <c r="Z11" s="4">
        <v>45306</v>
      </c>
      <c r="AA11" s="4">
        <v>45672</v>
      </c>
      <c r="AB11" s="2">
        <v>1200</v>
      </c>
      <c r="AC11">
        <v>600</v>
      </c>
      <c r="AD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44140625" defaultRowHeight="14.4"/>
  <cols>
    <col min="1" max="1" width="25.21875" bestFit="1" customWidth="1"/>
    <col min="2" max="7" width="25.21875" customWidth="1"/>
    <col min="8" max="8" width="17.44140625" style="1" bestFit="1" customWidth="1"/>
    <col min="9" max="9" width="14.44140625" style="1" customWidth="1"/>
    <col min="10" max="10" width="11.21875" style="1" bestFit="1" customWidth="1"/>
    <col min="11" max="11" width="11.44140625" style="3" bestFit="1" customWidth="1"/>
    <col min="12" max="12" width="10.21875" bestFit="1" customWidth="1"/>
    <col min="13" max="13" width="12.44140625" style="1" bestFit="1" customWidth="1"/>
    <col min="14" max="14" width="17.44140625" style="1" bestFit="1" customWidth="1"/>
    <col min="15" max="15" width="11.44140625" bestFit="1" customWidth="1"/>
    <col min="16" max="16" width="10.77734375" bestFit="1" customWidth="1"/>
    <col min="17" max="17" width="10" bestFit="1" customWidth="1"/>
    <col min="18" max="18" width="14.44140625" customWidth="1"/>
    <col min="19" max="19" width="29.44140625" bestFit="1" customWidth="1"/>
    <col min="20" max="20" width="26.44140625" bestFit="1" customWidth="1"/>
    <col min="21" max="21" width="29.44140625" bestFit="1" customWidth="1"/>
    <col min="22" max="22" width="26.44140625" bestFit="1" customWidth="1"/>
  </cols>
  <sheetData>
    <row r="1" spans="1:24" s="5" customFormat="1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15</v>
      </c>
      <c r="I1" s="5" t="s">
        <v>172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170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169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44140625" defaultRowHeight="14.4"/>
  <cols>
    <col min="1" max="1" width="22.7773437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7773437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77734375" style="13" customWidth="1"/>
    <col min="20" max="20" width="17.44140625" style="17" bestFit="1" customWidth="1"/>
    <col min="21" max="21" width="17.44140625" style="17" customWidth="1"/>
  </cols>
  <sheetData>
    <row r="1" spans="1:21" s="5" customFormat="1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161</v>
      </c>
      <c r="G1" s="5" t="s">
        <v>162</v>
      </c>
      <c r="H1" s="49" t="s">
        <v>163</v>
      </c>
      <c r="I1" s="5" t="s">
        <v>164</v>
      </c>
      <c r="J1" s="5" t="s">
        <v>165</v>
      </c>
      <c r="K1" s="5" t="s">
        <v>166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169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170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169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169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169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77734375" defaultRowHeight="14.4"/>
  <cols>
    <col min="1" max="1" width="16.44140625" style="10" bestFit="1" customWidth="1"/>
    <col min="2" max="2" width="10.77734375" style="10" bestFit="1" customWidth="1"/>
    <col min="3" max="3" width="26.44140625" style="10" bestFit="1" customWidth="1"/>
    <col min="4" max="4" width="26.77734375" style="10" bestFit="1" customWidth="1"/>
    <col min="5" max="5" width="26.21875" style="35" bestFit="1" customWidth="1"/>
    <col min="6" max="6" width="26.21875" style="35" customWidth="1"/>
    <col min="7" max="7" width="27.44140625" style="10" bestFit="1" customWidth="1"/>
    <col min="8" max="8" width="27.44140625" style="10" customWidth="1"/>
    <col min="9" max="16384" width="10.77734375" style="10"/>
  </cols>
  <sheetData>
    <row r="1" spans="1:12">
      <c r="A1" s="32" t="s">
        <v>161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>
      <c r="B32" s="34"/>
      <c r="C32" s="35"/>
    </row>
    <row r="33" spans="2:3">
      <c r="B33" s="34"/>
      <c r="C33" s="35"/>
    </row>
    <row r="34" spans="2:3">
      <c r="B34" s="34"/>
      <c r="C34" s="35"/>
    </row>
    <row r="35" spans="2:3">
      <c r="B35" s="34"/>
      <c r="C35" s="3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150" workbookViewId="0">
      <selection activeCell="A4" sqref="A4"/>
    </sheetView>
  </sheetViews>
  <sheetFormatPr baseColWidth="10" defaultColWidth="11.44140625" defaultRowHeight="14.4"/>
  <cols>
    <col min="1" max="1" width="39.44140625" bestFit="1" customWidth="1"/>
    <col min="2" max="3" width="10.33203125" bestFit="1" customWidth="1"/>
    <col min="4" max="4" width="21.44140625" bestFit="1" customWidth="1"/>
    <col min="5" max="5" width="14" bestFit="1" customWidth="1"/>
    <col min="6" max="6" width="10.21875" bestFit="1" customWidth="1"/>
    <col min="7" max="8" width="14.77734375" bestFit="1" customWidth="1"/>
    <col min="9" max="9" width="8.6640625" bestFit="1" customWidth="1"/>
    <col min="10" max="10" width="9.21875" bestFit="1" customWidth="1"/>
    <col min="11" max="11" width="10.2187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77734375" bestFit="1" customWidth="1"/>
    <col min="17" max="17" width="19" bestFit="1" customWidth="1"/>
    <col min="18" max="18" width="19" customWidth="1"/>
    <col min="19" max="19" width="11.33203125" bestFit="1" customWidth="1"/>
    <col min="20" max="20" width="17.21875" bestFit="1" customWidth="1"/>
    <col min="21" max="21" width="17.44140625" bestFit="1" customWidth="1"/>
    <col min="22" max="22" width="13.21875" bestFit="1" customWidth="1"/>
    <col min="23" max="23" width="13.6640625" bestFit="1" customWidth="1"/>
  </cols>
  <sheetData>
    <row r="1" spans="1:25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4">
        <v>0.08</v>
      </c>
      <c r="W2" s="54">
        <v>0.04</v>
      </c>
      <c r="X2" s="54">
        <v>0.02</v>
      </c>
      <c r="Y2">
        <f>+U2*V2*(1-W2)*(1-X2)</f>
        <v>68.10775081967212</v>
      </c>
    </row>
    <row r="3" spans="1:25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4">
        <v>0.08</v>
      </c>
      <c r="W3" s="54">
        <v>0.04</v>
      </c>
      <c r="X3" s="54">
        <v>0.02</v>
      </c>
      <c r="Y3">
        <f t="shared" ref="Y3:Y5" si="0">+U3*V3*(1-W3)*(1-X3)</f>
        <v>10.734373770491802</v>
      </c>
    </row>
    <row r="4" spans="1:25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4">
        <v>0.08</v>
      </c>
      <c r="W4" s="54">
        <v>0.04</v>
      </c>
      <c r="X4" s="54">
        <v>0.02</v>
      </c>
      <c r="Y4">
        <f t="shared" si="0"/>
        <v>0</v>
      </c>
    </row>
    <row r="5" spans="1:25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4">
        <v>0.08</v>
      </c>
      <c r="W5" s="54">
        <v>0.04</v>
      </c>
      <c r="X5" s="54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44140625" defaultRowHeight="14.4"/>
  <cols>
    <col min="1" max="1" width="29.6640625" bestFit="1" customWidth="1"/>
    <col min="2" max="2" width="20.6640625" bestFit="1" customWidth="1"/>
    <col min="3" max="3" width="11.33203125" bestFit="1" customWidth="1"/>
    <col min="4" max="4" width="23.21875" bestFit="1" customWidth="1"/>
    <col min="5" max="5" width="8.6640625" bestFit="1" customWidth="1"/>
    <col min="6" max="6" width="9.21875" bestFit="1" customWidth="1"/>
    <col min="7" max="7" width="8.33203125" bestFit="1" customWidth="1"/>
    <col min="8" max="8" width="5.6640625" bestFit="1" customWidth="1"/>
    <col min="9" max="9" width="16.44140625" bestFit="1" customWidth="1"/>
    <col min="10" max="10" width="25.44140625" bestFit="1" customWidth="1"/>
    <col min="11" max="11" width="24.77734375" bestFit="1" customWidth="1"/>
    <col min="12" max="12" width="14.33203125" bestFit="1" customWidth="1"/>
    <col min="13" max="13" width="15.33203125" bestFit="1" customWidth="1"/>
    <col min="14" max="14" width="27.21875" bestFit="1" customWidth="1"/>
    <col min="15" max="15" width="7.44140625" bestFit="1" customWidth="1"/>
    <col min="16" max="16" width="16.33203125" bestFit="1" customWidth="1"/>
  </cols>
  <sheetData>
    <row r="1" spans="1:16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161</v>
      </c>
      <c r="J1" s="5" t="s">
        <v>165</v>
      </c>
      <c r="K1" s="5" t="s">
        <v>166</v>
      </c>
      <c r="L1" s="5" t="s">
        <v>162</v>
      </c>
      <c r="M1" s="5" t="s">
        <v>163</v>
      </c>
      <c r="N1" s="5" t="s">
        <v>164</v>
      </c>
      <c r="O1" s="5" t="s">
        <v>134</v>
      </c>
      <c r="P1" s="5" t="s">
        <v>210</v>
      </c>
    </row>
    <row r="2" spans="1:16">
      <c r="A2" t="s">
        <v>211</v>
      </c>
      <c r="B2" t="s">
        <v>49</v>
      </c>
      <c r="C2" t="s">
        <v>47</v>
      </c>
      <c r="D2" s="55">
        <v>45657</v>
      </c>
      <c r="E2" s="56" t="s">
        <v>81</v>
      </c>
      <c r="F2" s="56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169</v>
      </c>
      <c r="N2" s="54">
        <v>0.4</v>
      </c>
      <c r="O2" s="54" t="s">
        <v>115</v>
      </c>
      <c r="P2" s="17">
        <v>1000000000</v>
      </c>
    </row>
    <row r="3" spans="1:16">
      <c r="A3" t="s">
        <v>211</v>
      </c>
      <c r="B3" t="s">
        <v>49</v>
      </c>
      <c r="C3" t="s">
        <v>47</v>
      </c>
      <c r="D3" s="55">
        <v>45657</v>
      </c>
      <c r="E3" s="56" t="s">
        <v>81</v>
      </c>
      <c r="F3" s="56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169</v>
      </c>
      <c r="N3" s="54">
        <v>0.6</v>
      </c>
      <c r="O3" s="54" t="s">
        <v>115</v>
      </c>
      <c r="P3" s="17">
        <v>1000000000</v>
      </c>
    </row>
    <row r="4" spans="1:16">
      <c r="A4" t="s">
        <v>212</v>
      </c>
      <c r="B4" t="s">
        <v>49</v>
      </c>
      <c r="C4" t="s">
        <v>47</v>
      </c>
      <c r="D4" s="55">
        <v>45657</v>
      </c>
      <c r="E4" s="56" t="s">
        <v>81</v>
      </c>
      <c r="F4" s="56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170</v>
      </c>
      <c r="N4" s="54">
        <v>1</v>
      </c>
      <c r="O4" s="54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77734375" defaultRowHeight="15.6"/>
  <cols>
    <col min="1" max="1" width="20.77734375" style="48" bestFit="1" customWidth="1"/>
    <col min="2" max="2" width="19.21875" style="28" customWidth="1"/>
    <col min="3" max="3" width="23.44140625" style="48" bestFit="1" customWidth="1"/>
    <col min="4" max="4" width="31.44140625" style="28" customWidth="1"/>
    <col min="5" max="5" width="15.77734375" style="28" customWidth="1"/>
    <col min="6" max="6" width="12.44140625" style="28" bestFit="1" customWidth="1"/>
    <col min="7" max="7" width="51.44140625" style="28" customWidth="1"/>
    <col min="8" max="8" width="10.44140625" style="28" bestFit="1" customWidth="1"/>
    <col min="9" max="16384" width="10.77734375" style="28"/>
  </cols>
  <sheetData>
    <row r="1" spans="1:9" s="26" customFormat="1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44140625" defaultRowHeight="14.4"/>
  <cols>
    <col min="2" max="2" width="13.77734375" customWidth="1"/>
    <col min="3" max="3" width="24.44140625" customWidth="1"/>
  </cols>
  <sheetData>
    <row r="1" spans="1:3">
      <c r="A1" s="42" t="s">
        <v>337</v>
      </c>
      <c r="B1" s="42" t="s">
        <v>338</v>
      </c>
      <c r="C1" s="42" t="s">
        <v>339</v>
      </c>
    </row>
    <row r="2" spans="1:3">
      <c r="A2" s="43">
        <v>181</v>
      </c>
      <c r="B2" s="43" t="s">
        <v>340</v>
      </c>
      <c r="C2" s="43" t="s">
        <v>341</v>
      </c>
    </row>
    <row r="3" spans="1:3">
      <c r="A3" s="43">
        <v>183</v>
      </c>
      <c r="B3" s="43" t="s">
        <v>340</v>
      </c>
      <c r="C3" s="43" t="s">
        <v>341</v>
      </c>
    </row>
    <row r="4" spans="1:3">
      <c r="A4" s="43">
        <v>193</v>
      </c>
      <c r="B4" s="43" t="s">
        <v>340</v>
      </c>
      <c r="C4" s="43" t="s">
        <v>341</v>
      </c>
    </row>
    <row r="5" spans="1:3">
      <c r="A5" s="43">
        <v>196</v>
      </c>
      <c r="B5" s="43" t="s">
        <v>340</v>
      </c>
      <c r="C5" s="43" t="s">
        <v>341</v>
      </c>
    </row>
    <row r="6" spans="1:3">
      <c r="A6" s="43" t="s">
        <v>342</v>
      </c>
      <c r="B6" s="43" t="s">
        <v>343</v>
      </c>
      <c r="C6" s="43" t="s">
        <v>344</v>
      </c>
    </row>
    <row r="7" spans="1:3">
      <c r="A7" s="43" t="s">
        <v>345</v>
      </c>
      <c r="B7" s="43" t="s">
        <v>343</v>
      </c>
      <c r="C7" s="43" t="s">
        <v>344</v>
      </c>
    </row>
    <row r="8" spans="1:3">
      <c r="A8" s="43" t="s">
        <v>346</v>
      </c>
      <c r="B8" s="43" t="s">
        <v>343</v>
      </c>
      <c r="C8" s="43" t="s">
        <v>344</v>
      </c>
    </row>
    <row r="9" spans="1:3">
      <c r="A9" s="43" t="s">
        <v>99</v>
      </c>
      <c r="B9" s="43" t="s">
        <v>343</v>
      </c>
      <c r="C9" s="43" t="s">
        <v>344</v>
      </c>
    </row>
    <row r="10" spans="1:3">
      <c r="A10" s="43" t="s">
        <v>347</v>
      </c>
      <c r="B10" s="43" t="s">
        <v>343</v>
      </c>
      <c r="C10" s="43" t="s">
        <v>344</v>
      </c>
    </row>
    <row r="11" spans="1:3">
      <c r="A11" s="43" t="s">
        <v>348</v>
      </c>
      <c r="B11" s="43" t="s">
        <v>343</v>
      </c>
      <c r="C11" s="43" t="s">
        <v>344</v>
      </c>
    </row>
    <row r="12" spans="1:3">
      <c r="A12" s="43" t="s">
        <v>349</v>
      </c>
      <c r="B12" s="43" t="s">
        <v>343</v>
      </c>
      <c r="C12" s="43" t="s">
        <v>344</v>
      </c>
    </row>
    <row r="13" spans="1:3">
      <c r="A13" s="43" t="s">
        <v>350</v>
      </c>
      <c r="B13" s="43" t="s">
        <v>343</v>
      </c>
      <c r="C13" s="43" t="s">
        <v>344</v>
      </c>
    </row>
    <row r="14" spans="1:3">
      <c r="A14" s="43" t="s">
        <v>351</v>
      </c>
      <c r="B14" s="43" t="s">
        <v>343</v>
      </c>
      <c r="C14" s="43" t="s">
        <v>344</v>
      </c>
    </row>
    <row r="15" spans="1:3">
      <c r="A15" s="43" t="s">
        <v>352</v>
      </c>
      <c r="B15" s="43" t="s">
        <v>343</v>
      </c>
      <c r="C15" s="43" t="s">
        <v>344</v>
      </c>
    </row>
    <row r="16" spans="1:3">
      <c r="A16" s="43" t="s">
        <v>353</v>
      </c>
      <c r="B16" s="43" t="s">
        <v>343</v>
      </c>
      <c r="C16" s="43" t="s">
        <v>344</v>
      </c>
    </row>
    <row r="17" spans="1:3">
      <c r="A17" s="43" t="s">
        <v>354</v>
      </c>
      <c r="B17" s="43" t="s">
        <v>343</v>
      </c>
      <c r="C17" s="43" t="s">
        <v>344</v>
      </c>
    </row>
    <row r="18" spans="1:3">
      <c r="A18" s="43" t="s">
        <v>355</v>
      </c>
      <c r="B18" s="43" t="s">
        <v>343</v>
      </c>
      <c r="C18" s="43" t="s">
        <v>344</v>
      </c>
    </row>
    <row r="19" spans="1:3">
      <c r="A19" s="43" t="s">
        <v>356</v>
      </c>
      <c r="B19" s="43" t="s">
        <v>343</v>
      </c>
      <c r="C19" s="43" t="s">
        <v>344</v>
      </c>
    </row>
    <row r="20" spans="1:3">
      <c r="A20" s="43" t="s">
        <v>357</v>
      </c>
      <c r="B20" s="43" t="s">
        <v>343</v>
      </c>
      <c r="C20" s="43" t="s">
        <v>344</v>
      </c>
    </row>
    <row r="21" spans="1:3">
      <c r="A21" s="43" t="s">
        <v>358</v>
      </c>
      <c r="B21" s="43" t="s">
        <v>343</v>
      </c>
      <c r="C21" s="43" t="s">
        <v>344</v>
      </c>
    </row>
    <row r="22" spans="1:3">
      <c r="A22" s="43" t="s">
        <v>182</v>
      </c>
      <c r="B22" s="43" t="s">
        <v>343</v>
      </c>
      <c r="C22" s="43" t="s">
        <v>344</v>
      </c>
    </row>
    <row r="23" spans="1:3">
      <c r="A23" s="43" t="s">
        <v>359</v>
      </c>
      <c r="B23" s="43" t="s">
        <v>343</v>
      </c>
      <c r="C23" s="43" t="s">
        <v>344</v>
      </c>
    </row>
    <row r="24" spans="1:3">
      <c r="A24" s="43" t="s">
        <v>360</v>
      </c>
      <c r="B24" s="43" t="s">
        <v>343</v>
      </c>
      <c r="C24" s="43" t="s">
        <v>344</v>
      </c>
    </row>
    <row r="25" spans="1:3">
      <c r="A25" s="43" t="s">
        <v>361</v>
      </c>
      <c r="B25" s="43" t="s">
        <v>343</v>
      </c>
      <c r="C25" s="43" t="s">
        <v>344</v>
      </c>
    </row>
    <row r="26" spans="1:3">
      <c r="A26" s="43" t="s">
        <v>362</v>
      </c>
      <c r="B26" s="43" t="s">
        <v>343</v>
      </c>
      <c r="C26" s="43" t="s">
        <v>344</v>
      </c>
    </row>
    <row r="27" spans="1:3">
      <c r="A27" s="43" t="s">
        <v>363</v>
      </c>
      <c r="B27" s="43" t="s">
        <v>343</v>
      </c>
      <c r="C27" s="43" t="s">
        <v>344</v>
      </c>
    </row>
    <row r="28" spans="1:3">
      <c r="A28" s="43" t="s">
        <v>364</v>
      </c>
      <c r="B28" s="43" t="s">
        <v>343</v>
      </c>
      <c r="C28" s="43" t="s">
        <v>344</v>
      </c>
    </row>
    <row r="29" spans="1:3">
      <c r="A29" s="43" t="s">
        <v>79</v>
      </c>
      <c r="B29" s="43" t="s">
        <v>343</v>
      </c>
      <c r="C29" s="43" t="s">
        <v>344</v>
      </c>
    </row>
    <row r="30" spans="1:3">
      <c r="A30" s="43" t="s">
        <v>97</v>
      </c>
      <c r="B30" s="43" t="s">
        <v>365</v>
      </c>
      <c r="C30" s="43" t="s">
        <v>366</v>
      </c>
    </row>
    <row r="31" spans="1:3">
      <c r="A31" s="43" t="s">
        <v>367</v>
      </c>
      <c r="B31" s="43" t="s">
        <v>343</v>
      </c>
      <c r="C31" s="43" t="s">
        <v>344</v>
      </c>
    </row>
    <row r="32" spans="1:3">
      <c r="A32" s="43" t="s">
        <v>368</v>
      </c>
      <c r="B32" s="43" t="s">
        <v>340</v>
      </c>
      <c r="C32" s="43" t="s">
        <v>341</v>
      </c>
    </row>
    <row r="33" spans="1:3">
      <c r="A33" s="43" t="s">
        <v>369</v>
      </c>
      <c r="B33" s="43" t="s">
        <v>340</v>
      </c>
      <c r="C33" s="43" t="s">
        <v>341</v>
      </c>
    </row>
    <row r="34" spans="1:3">
      <c r="A34" s="43" t="s">
        <v>370</v>
      </c>
      <c r="B34" s="43" t="s">
        <v>340</v>
      </c>
      <c r="C34" s="43" t="s">
        <v>341</v>
      </c>
    </row>
    <row r="35" spans="1:3">
      <c r="A35" s="43" t="s">
        <v>371</v>
      </c>
      <c r="B35" s="43" t="s">
        <v>340</v>
      </c>
      <c r="C35" s="43" t="s">
        <v>341</v>
      </c>
    </row>
    <row r="36" spans="1:3">
      <c r="A36" s="43" t="s">
        <v>372</v>
      </c>
      <c r="B36" s="43" t="s">
        <v>340</v>
      </c>
      <c r="C36" s="43" t="s">
        <v>341</v>
      </c>
    </row>
    <row r="37" spans="1:3">
      <c r="A37" s="43" t="s">
        <v>95</v>
      </c>
      <c r="B37" s="43" t="s">
        <v>340</v>
      </c>
      <c r="C37" s="43" t="s">
        <v>341</v>
      </c>
    </row>
    <row r="38" spans="1:3">
      <c r="A38" s="43" t="s">
        <v>373</v>
      </c>
      <c r="B38" s="43" t="s">
        <v>340</v>
      </c>
      <c r="C38" s="43" t="s">
        <v>341</v>
      </c>
    </row>
    <row r="39" spans="1:3">
      <c r="A39" s="45" t="s">
        <v>374</v>
      </c>
      <c r="B39" s="43" t="s">
        <v>340</v>
      </c>
      <c r="C39" s="43" t="s">
        <v>341</v>
      </c>
    </row>
    <row r="40" spans="1:3">
      <c r="A40" s="43" t="s">
        <v>375</v>
      </c>
      <c r="B40" s="43" t="s">
        <v>340</v>
      </c>
      <c r="C40" s="43" t="s">
        <v>341</v>
      </c>
    </row>
    <row r="41" spans="1:3">
      <c r="A41" s="43" t="s">
        <v>102</v>
      </c>
      <c r="B41" s="43" t="s">
        <v>340</v>
      </c>
      <c r="C41" s="43" t="s">
        <v>341</v>
      </c>
    </row>
    <row r="42" spans="1:3">
      <c r="A42" s="43" t="s">
        <v>376</v>
      </c>
      <c r="B42" s="43" t="s">
        <v>340</v>
      </c>
      <c r="C42" s="43" t="s">
        <v>341</v>
      </c>
    </row>
    <row r="43" spans="1:3">
      <c r="A43" s="43" t="s">
        <v>180</v>
      </c>
      <c r="B43" s="43" t="s">
        <v>340</v>
      </c>
      <c r="C43" s="43" t="s">
        <v>341</v>
      </c>
    </row>
    <row r="44" spans="1:3">
      <c r="A44" s="43" t="s">
        <v>98</v>
      </c>
      <c r="B44" s="43" t="s">
        <v>340</v>
      </c>
      <c r="C44" s="43" t="s">
        <v>341</v>
      </c>
    </row>
    <row r="45" spans="1:3">
      <c r="A45" s="44" t="s">
        <v>377</v>
      </c>
      <c r="B45" s="43" t="s">
        <v>378</v>
      </c>
      <c r="C45" s="43" t="s">
        <v>379</v>
      </c>
    </row>
    <row r="46" spans="1:3">
      <c r="A46" s="43" t="s">
        <v>380</v>
      </c>
      <c r="B46" s="43" t="s">
        <v>340</v>
      </c>
      <c r="C46" s="43" t="s">
        <v>341</v>
      </c>
    </row>
    <row r="47" spans="1:3">
      <c r="A47" s="43" t="s">
        <v>381</v>
      </c>
      <c r="B47" s="43" t="s">
        <v>382</v>
      </c>
      <c r="C47" s="43" t="s">
        <v>383</v>
      </c>
    </row>
    <row r="48" spans="1:3">
      <c r="A48" s="43" t="s">
        <v>160</v>
      </c>
      <c r="B48" s="43" t="s">
        <v>340</v>
      </c>
      <c r="C48" s="43" t="s">
        <v>341</v>
      </c>
    </row>
    <row r="49" spans="1:3">
      <c r="A49" s="43" t="s">
        <v>384</v>
      </c>
      <c r="B49" s="43" t="s">
        <v>340</v>
      </c>
      <c r="C49" s="43" t="s">
        <v>341</v>
      </c>
    </row>
    <row r="50" spans="1:3">
      <c r="A50" s="46" t="s">
        <v>385</v>
      </c>
      <c r="B50" s="46" t="s">
        <v>340</v>
      </c>
      <c r="C50" s="43" t="s">
        <v>341</v>
      </c>
    </row>
    <row r="51" spans="1:3">
      <c r="A51" s="43" t="s">
        <v>386</v>
      </c>
      <c r="B51" s="43" t="s">
        <v>387</v>
      </c>
      <c r="C51" s="43" t="s">
        <v>388</v>
      </c>
    </row>
    <row r="52" spans="1:3">
      <c r="A52" s="43" t="s">
        <v>389</v>
      </c>
      <c r="B52" s="43" t="s">
        <v>387</v>
      </c>
      <c r="C52" s="43" t="s">
        <v>388</v>
      </c>
    </row>
    <row r="53" spans="1:3">
      <c r="A53" s="43" t="s">
        <v>101</v>
      </c>
      <c r="B53" s="43" t="s">
        <v>387</v>
      </c>
      <c r="C53" s="43" t="s">
        <v>388</v>
      </c>
    </row>
    <row r="54" spans="1:3">
      <c r="A54" s="43" t="s">
        <v>390</v>
      </c>
      <c r="B54" s="43" t="s">
        <v>387</v>
      </c>
      <c r="C54" s="43" t="s">
        <v>388</v>
      </c>
    </row>
    <row r="55" spans="1:3">
      <c r="A55" s="43" t="s">
        <v>391</v>
      </c>
      <c r="B55" s="43" t="s">
        <v>387</v>
      </c>
      <c r="C55" s="43" t="s">
        <v>388</v>
      </c>
    </row>
    <row r="56" spans="1:3">
      <c r="A56" s="43" t="s">
        <v>392</v>
      </c>
      <c r="B56" s="43" t="s">
        <v>387</v>
      </c>
      <c r="C56" s="43" t="s">
        <v>388</v>
      </c>
    </row>
    <row r="57" spans="1:3">
      <c r="A57" s="43" t="s">
        <v>393</v>
      </c>
      <c r="B57" s="43" t="s">
        <v>387</v>
      </c>
      <c r="C57" s="43" t="s">
        <v>388</v>
      </c>
    </row>
    <row r="58" spans="1:3">
      <c r="A58" s="43" t="s">
        <v>394</v>
      </c>
      <c r="B58" s="43" t="s">
        <v>340</v>
      </c>
      <c r="C58" s="43" t="s">
        <v>341</v>
      </c>
    </row>
    <row r="59" spans="1:3">
      <c r="A59" s="43" t="s">
        <v>395</v>
      </c>
      <c r="B59" s="43" t="s">
        <v>340</v>
      </c>
      <c r="C59" s="43" t="s">
        <v>341</v>
      </c>
    </row>
    <row r="60" spans="1:3">
      <c r="A60" s="43" t="s">
        <v>396</v>
      </c>
      <c r="B60" s="43" t="s">
        <v>340</v>
      </c>
      <c r="C60" s="43" t="s">
        <v>341</v>
      </c>
    </row>
    <row r="61" spans="1:3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44140625" defaultRowHeight="14.4"/>
  <cols>
    <col min="1" max="1" width="25.4414062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44140625" defaultRowHeight="14.4"/>
  <cols>
    <col min="1" max="1" width="23.44140625" bestFit="1" customWidth="1"/>
    <col min="2" max="2" width="10.44140625" bestFit="1" customWidth="1"/>
    <col min="3" max="3" width="16.44140625" bestFit="1" customWidth="1"/>
    <col min="4" max="4" width="14.44140625" bestFit="1" customWidth="1"/>
    <col min="5" max="5" width="23.77734375" bestFit="1" customWidth="1"/>
    <col min="6" max="6" width="11.44140625" bestFit="1" customWidth="1"/>
    <col min="7" max="7" width="22.44140625" bestFit="1" customWidth="1"/>
    <col min="8" max="8" width="18" bestFit="1" customWidth="1"/>
    <col min="9" max="9" width="11.21875" customWidth="1"/>
    <col min="10" max="10" width="8.44140625" bestFit="1" customWidth="1"/>
    <col min="11" max="11" width="9.21875" bestFit="1" customWidth="1"/>
    <col min="12" max="12" width="8.44140625" bestFit="1" customWidth="1"/>
    <col min="13" max="13" width="7.44140625" bestFit="1" customWidth="1"/>
    <col min="14" max="14" width="7.77734375" bestFit="1" customWidth="1"/>
  </cols>
  <sheetData>
    <row r="1" spans="1:14" s="5" customFormat="1">
      <c r="A1" s="5" t="s">
        <v>0</v>
      </c>
      <c r="B1" s="5" t="s">
        <v>398</v>
      </c>
      <c r="C1" s="5" t="s">
        <v>161</v>
      </c>
      <c r="D1" s="5" t="s">
        <v>162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Props1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param_contabilidad</vt:lpstr>
      <vt:lpstr>excepciones_50_50</vt:lpstr>
      <vt:lpstr>componente_financiacion</vt:lpstr>
      <vt:lpstr>gastos</vt:lpstr>
      <vt:lpstr>tasa_cambio</vt:lpstr>
      <vt:lpstr>porc_descuento</vt:lpstr>
      <vt:lpstr>produccion_directo</vt:lpstr>
      <vt:lpstr>componente_inversion_directo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Priscilla Andrea Palacios Ruiz</cp:lastModifiedBy>
  <cp:revision/>
  <dcterms:created xsi:type="dcterms:W3CDTF">2015-06-05T18:19:34Z</dcterms:created>
  <dcterms:modified xsi:type="dcterms:W3CDTF">2026-02-09T21:36:36Z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